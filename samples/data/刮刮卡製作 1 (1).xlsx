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0刮" sheetId="1" r:id="rId4"/>
    <sheet state="visible" name="20刮" sheetId="2" r:id="rId5"/>
    <sheet state="visible" name="40刮" sheetId="3" r:id="rId6"/>
    <sheet state="visible" name="60刮" sheetId="4" r:id="rId7"/>
    <sheet state="visible" name="120刮" sheetId="5" r:id="rId8"/>
    <sheet state="visible" name="100刮" sheetId="6" r:id="rId9"/>
    <sheet state="visible" name="80刮" sheetId="7" r:id="rId10"/>
    <sheet state="visible" name="隨機產生號碼" sheetId="8" r:id="rId11"/>
  </sheets>
  <definedNames/>
  <calcPr/>
</workbook>
</file>

<file path=xl/sharedStrings.xml><?xml version="1.0" encoding="utf-8"?>
<sst xmlns="http://schemas.openxmlformats.org/spreadsheetml/2006/main" count="20" uniqueCount="19">
  <si>
    <r>
      <rPr>
        <rFont val="華康特粗楷體(P)"/>
        <color theme="1"/>
        <sz val="24.0"/>
      </rPr>
      <t>萌欣國際刮卡</t>
    </r>
    <r>
      <rPr>
        <rFont val="華康特粗楷體(P)"/>
        <color theme="1"/>
        <sz val="26.0"/>
      </rPr>
      <t xml:space="preserve">
</t>
    </r>
    <r>
      <rPr>
        <rFont val="華康特粗楷體(P)"/>
        <color theme="1"/>
        <sz val="14.0"/>
      </rPr>
      <t xml:space="preserve">(一)夾出    樣，贈送   刮，對中號碼即算中獎。
(二)請勿先刮、多刮，作弊者刮中一律不算。
(三)活動為額外加贈，非屬選物販賣機之消費。 
(四)活動主辦方保有最終解釋權力。  
</t>
    </r>
    <r>
      <rPr>
        <rFont val="華康特粗楷體(P)"/>
        <color theme="1"/>
        <sz val="26.0"/>
      </rPr>
      <t xml:space="preserve">
</t>
    </r>
  </si>
  <si>
    <t>第一版</t>
  </si>
  <si>
    <t>160刮</t>
  </si>
  <si>
    <t>第二版</t>
  </si>
  <si>
    <r>
      <rPr>
        <rFont val="Calibri"/>
        <color theme="1"/>
        <sz val="24.0"/>
      </rPr>
      <t>萌欣國際刮卡</t>
    </r>
    <r>
      <rPr>
        <rFont val="Calibri"/>
        <color theme="1"/>
        <sz val="26.0"/>
      </rPr>
      <t xml:space="preserve">
</t>
    </r>
    <r>
      <rPr>
        <rFont val="Calibri"/>
        <color theme="1"/>
        <sz val="14.0"/>
      </rPr>
      <t xml:space="preserve">(一)夾出    樣，贈送   刮，對中號碼即算中獎。
(二)請勿先刮、多刮，作弊者刮中一律不算。
(三)活動為額外加贈，非屬選物販賣機之消費。 
(四)活動主辦方保有最終解釋權力。  
</t>
    </r>
    <r>
      <rPr>
        <rFont val="Calibri"/>
        <color theme="1"/>
        <sz val="26.0"/>
      </rPr>
      <t xml:space="preserve">
</t>
    </r>
  </si>
  <si>
    <r>
      <rPr>
        <rFont val="華康特粗楷體(P)"/>
        <color theme="1"/>
        <sz val="24.0"/>
      </rPr>
      <t>萌欣國際刮卡</t>
    </r>
    <r>
      <rPr>
        <rFont val="華康特粗楷體(P)"/>
        <color theme="1"/>
        <sz val="26.0"/>
      </rPr>
      <t xml:space="preserve">
</t>
    </r>
    <r>
      <rPr>
        <rFont val="華康特粗楷體(P)"/>
        <color theme="1"/>
        <sz val="14.0"/>
      </rPr>
      <t xml:space="preserve">(一)夾出    樣，贈送   刮，對中號碼即算中獎。
(二)請勿先刮、多刮，作弊者刮中一律不算。
(三)活動為額外加贈，非屬選物販賣機之消費。 
(四)活動主辦方保有最終解釋權力。  
</t>
    </r>
    <r>
      <rPr>
        <rFont val="華康特粗楷體(P)"/>
        <color theme="1"/>
        <sz val="26.0"/>
      </rPr>
      <t xml:space="preserve">
</t>
    </r>
  </si>
  <si>
    <t>20刮</t>
  </si>
  <si>
    <r>
      <rPr>
        <rFont val="華康特粗楷體(P)"/>
        <color theme="1"/>
        <sz val="36.0"/>
      </rPr>
      <t>萌欣國際刮卡</t>
    </r>
    <r>
      <rPr>
        <rFont val="華康特粗楷體(P)"/>
        <color theme="1"/>
        <sz val="26.0"/>
      </rPr>
      <t xml:space="preserve">
</t>
    </r>
    <r>
      <rPr>
        <rFont val="華康特粗楷體(P)"/>
        <color theme="1"/>
        <sz val="14.0"/>
      </rPr>
      <t xml:space="preserve">(一)夾出    樣，贈送   刮，對中號碼即算中獎。
(二)請勿先刮、多刮，作弊者刮中一律不算。
(三)活動為額外加贈，非屬選物販賣機之消費。 
(四)活動主辦方保有最終解釋權力。  
</t>
    </r>
    <r>
      <rPr>
        <rFont val="華康特粗楷體(P)"/>
        <color theme="1"/>
        <sz val="26.0"/>
      </rPr>
      <t xml:space="preserve">
</t>
    </r>
  </si>
  <si>
    <t xml:space="preserve">     40刮</t>
  </si>
  <si>
    <r>
      <rPr>
        <rFont val="華康特粗楷體(P)"/>
        <color theme="1"/>
        <sz val="48.0"/>
      </rPr>
      <t>萌欣國際刮卡</t>
    </r>
    <r>
      <rPr>
        <rFont val="華康特粗楷體(P)"/>
        <color theme="1"/>
        <sz val="26.0"/>
      </rPr>
      <t xml:space="preserve">
</t>
    </r>
    <r>
      <rPr>
        <rFont val="華康特粗楷體(P)"/>
        <color theme="1"/>
        <sz val="16.0"/>
      </rPr>
      <t xml:space="preserve">(一)夾出    樣，贈送   刮，對中號碼即算中獎。
(二)請勿先刮、多刮，作弊者刮中一律不算。
(三)活動為額外加贈，非屬選物販賣機之消費。 
(四)活動主辦方保有最終解釋權力。  </t>
    </r>
    <r>
      <rPr>
        <rFont val="華康特粗楷體(P)"/>
        <color theme="1"/>
        <sz val="14.0"/>
      </rPr>
      <t xml:space="preserve">
</t>
    </r>
    <r>
      <rPr>
        <rFont val="華康特粗楷體(P)"/>
        <color theme="1"/>
        <sz val="26.0"/>
      </rPr>
      <t xml:space="preserve">
</t>
    </r>
  </si>
  <si>
    <t xml:space="preserve">        60刮</t>
  </si>
  <si>
    <t xml:space="preserve"> </t>
  </si>
  <si>
    <t>(一)夾出    樣，贈送   刮，對中號碼即算中獎。
(二)請勿先刮、多刮，作弊者刮中一律不算。
(三)活動為額外加贈，非屬選物販賣機之消費。 
(四)活動主辦方保有最終解釋權力。</t>
  </si>
  <si>
    <t>120刮</t>
  </si>
  <si>
    <t xml:space="preserve">(一)夾出    樣，贈送   刮，對中號碼即算中獎。
(二)請勿先刮、多刮，作弊者刮中一律不算。
(三)活動為額外加贈，非屬選物販賣機之消費。 
(四)活動主辦方保有最終解釋權力。  
</t>
  </si>
  <si>
    <t>萌欣國際刮卡</t>
  </si>
  <si>
    <t xml:space="preserve">     100刮</t>
  </si>
  <si>
    <r>
      <rPr>
        <rFont val="華康特粗楷體(P)"/>
        <color theme="1"/>
        <sz val="24.0"/>
      </rPr>
      <t>萌欣國際刮卡</t>
    </r>
    <r>
      <rPr>
        <rFont val="華康特粗楷體(P)"/>
        <color theme="1"/>
        <sz val="26.0"/>
      </rPr>
      <t xml:space="preserve">
</t>
    </r>
    <r>
      <rPr>
        <rFont val="華康特粗楷體(P)"/>
        <color theme="1"/>
        <sz val="14.0"/>
      </rPr>
      <t xml:space="preserve">(一)夾出    樣，贈送   刮，對中號碼即算中獎。
(二)請勿先刮、多刮，作弊者刮中一律不算。
(三)活動為額外加贈，非屬選物販賣機之消費。 
(四)活動主辦方保有最終解釋權力。  
</t>
    </r>
    <r>
      <rPr>
        <rFont val="華康特粗楷體(P)"/>
        <color theme="1"/>
        <sz val="26.0"/>
      </rPr>
      <t xml:space="preserve">
</t>
    </r>
  </si>
  <si>
    <t>80刮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</si>
</sst>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0"/>
      <name val="PMingLiu"/>
    </font>
    <font>
      <sz val="26.0"/>
      <color theme="1"/>
      <name val="華康特粗楷體(P)"/>
    </font>
    <font>
      <sz val="48.0"/>
      <color theme="1"/>
      <name val="PMingLiu"/>
    </font>
    <font>
      <sz val="11.0"/>
      <color theme="1"/>
      <name val="PMingLiu"/>
    </font>
    <font>
      <color theme="1"/>
      <name val="Calibri"/>
      <scheme val="minor"/>
    </font>
    <font/>
    <font>
      <b/>
      <sz val="24.0"/>
      <color rgb="FF7F7F7F"/>
      <name val="PMingLiu"/>
    </font>
    <font>
      <sz val="11.0"/>
      <color rgb="FF7F7F7F"/>
      <name val="PMingLiu"/>
    </font>
    <font>
      <b/>
      <sz val="24.0"/>
      <color theme="1"/>
      <name val="PMingLiu"/>
    </font>
    <font>
      <sz val="32.0"/>
      <color theme="1"/>
      <name val="華康特粗楷體(P)"/>
    </font>
    <font>
      <sz val="12.0"/>
      <color theme="1"/>
      <name val="DFKai-SB"/>
    </font>
    <font>
      <sz val="10.0"/>
      <color theme="1"/>
      <name val="華康特粗楷體(P)"/>
    </font>
    <font>
      <sz val="36.0"/>
      <color theme="1"/>
      <name val="華康特粗楷體(P)"/>
    </font>
    <font>
      <sz val="36.0"/>
      <color theme="1"/>
      <name val="PMingLiu"/>
    </font>
    <font>
      <sz val="14.0"/>
      <color rgb="FF222222"/>
      <name val="Arial"/>
    </font>
  </fonts>
  <fills count="2">
    <fill>
      <patternFill patternType="none"/>
    </fill>
    <fill>
      <patternFill patternType="lightGray"/>
    </fill>
  </fills>
  <borders count="8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vertical="top"/>
    </xf>
    <xf borderId="1" fillId="0" fontId="2" numFmtId="0" xfId="0" applyAlignment="1" applyBorder="1" applyFont="1">
      <alignment horizontal="left" shrinkToFit="0" vertical="top" wrapText="1"/>
    </xf>
    <xf borderId="0" fillId="0" fontId="5" numFmtId="0" xfId="0" applyFont="1"/>
    <xf borderId="1" fillId="0" fontId="6" numFmtId="0" xfId="0" applyBorder="1" applyFont="1"/>
    <xf borderId="0" fillId="0" fontId="5" numFmtId="0" xfId="0" applyAlignment="1" applyFont="1">
      <alignment readingOrder="0"/>
    </xf>
    <xf borderId="2" fillId="0" fontId="7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0" fillId="0" fontId="8" numFmtId="0" xfId="0" applyFont="1"/>
    <xf borderId="6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7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shrinkToFit="0" vertical="top" wrapText="1"/>
    </xf>
    <xf borderId="0" fillId="0" fontId="13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7</xdr:row>
      <xdr:rowOff>200025</xdr:rowOff>
    </xdr:from>
    <xdr:ext cx="1438275" cy="14001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504825</xdr:colOff>
      <xdr:row>0</xdr:row>
      <xdr:rowOff>0</xdr:rowOff>
    </xdr:from>
    <xdr:ext cx="1419225" cy="1419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523875</xdr:colOff>
      <xdr:row>0</xdr:row>
      <xdr:rowOff>0</xdr:rowOff>
    </xdr:from>
    <xdr:ext cx="1438275" cy="1400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1047750</xdr:colOff>
      <xdr:row>0</xdr:row>
      <xdr:rowOff>0</xdr:rowOff>
    </xdr:from>
    <xdr:ext cx="2152650" cy="2181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781050</xdr:colOff>
      <xdr:row>0</xdr:row>
      <xdr:rowOff>0</xdr:rowOff>
    </xdr:from>
    <xdr:ext cx="2200275" cy="2143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0</xdr:row>
      <xdr:rowOff>0</xdr:rowOff>
    </xdr:from>
    <xdr:ext cx="990600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857250</xdr:colOff>
      <xdr:row>0</xdr:row>
      <xdr:rowOff>0</xdr:rowOff>
    </xdr:from>
    <xdr:ext cx="971550" cy="933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523875</xdr:colOff>
      <xdr:row>0</xdr:row>
      <xdr:rowOff>0</xdr:rowOff>
    </xdr:from>
    <xdr:ext cx="1438275" cy="1400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0" width="13.71"/>
    <col customWidth="1" min="11" max="11" width="12.0"/>
    <col customWidth="1" min="12" max="12" width="12.71"/>
    <col customWidth="1" min="13" max="22" width="13.71"/>
    <col customWidth="1" min="23" max="25" width="9.14"/>
  </cols>
  <sheetData>
    <row r="1" ht="56.25" customHeight="1">
      <c r="A1" s="1" t="str">
        <f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W60B275HWW</v>
      </c>
      <c r="B1" s="2"/>
      <c r="C1" s="2"/>
      <c r="D1" s="2"/>
      <c r="E1" s="2"/>
      <c r="I1" s="3"/>
      <c r="J1" s="3"/>
      <c r="K1" s="3"/>
      <c r="L1" s="4"/>
      <c r="M1" s="2" t="s">
        <v>0</v>
      </c>
      <c r="T1" s="3"/>
      <c r="U1" s="3"/>
      <c r="V1" s="3"/>
      <c r="W1" s="3"/>
    </row>
    <row r="2" ht="55.5" customHeight="1">
      <c r="A2" s="5"/>
      <c r="B2" s="6"/>
      <c r="C2" s="6"/>
      <c r="D2" s="6"/>
      <c r="E2" s="7" t="str">
        <f t="shared" ref="E2:E3" si="1">A1</f>
        <v>W60B275HWW</v>
      </c>
      <c r="G2" s="7" t="s">
        <v>1</v>
      </c>
      <c r="H2" s="3" t="s">
        <v>2</v>
      </c>
      <c r="I2" s="3"/>
      <c r="J2" s="3"/>
      <c r="K2" s="3"/>
      <c r="L2" s="4"/>
      <c r="M2" s="8"/>
      <c r="N2" s="8"/>
      <c r="O2" s="8"/>
      <c r="P2" s="8"/>
      <c r="Q2" s="8"/>
      <c r="R2" s="7" t="str">
        <f>A1</f>
        <v>W60B275HWW</v>
      </c>
      <c r="S2" s="7" t="s">
        <v>3</v>
      </c>
      <c r="T2" s="3" t="s">
        <v>2</v>
      </c>
      <c r="U2" s="3"/>
      <c r="V2" s="3"/>
      <c r="W2" s="3"/>
    </row>
    <row r="3" ht="15.75" customHeight="1">
      <c r="E3" s="7" t="str">
        <f t="shared" si="1"/>
        <v/>
      </c>
      <c r="J3" s="9" t="s">
        <v>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">
    <mergeCell ref="M1:Q2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1" width="13.71"/>
    <col customWidth="1" min="12" max="12" width="12.0"/>
    <col customWidth="1" min="13" max="26" width="9.14"/>
  </cols>
  <sheetData>
    <row r="1" ht="56.25" customHeight="1">
      <c r="A1" s="1" t="str">
        <f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95N7Z363W3</v>
      </c>
      <c r="B1" s="2" t="s">
        <v>5</v>
      </c>
      <c r="G1" s="4" t="s">
        <v>6</v>
      </c>
    </row>
    <row r="2" ht="55.5" customHeight="1">
      <c r="A2" s="5"/>
    </row>
    <row r="3" ht="60.75" customHeight="1">
      <c r="B3" s="10">
        <f>'隨機產生號碼'!F1</f>
        <v>10</v>
      </c>
      <c r="C3" s="11"/>
      <c r="D3" s="10">
        <f>'隨機產生號碼'!F5</f>
        <v>3</v>
      </c>
      <c r="E3" s="11"/>
      <c r="F3" s="10">
        <f>'隨機產生號碼'!F9</f>
        <v>17</v>
      </c>
      <c r="G3" s="11"/>
      <c r="H3" s="10">
        <f>'隨機產生號碼'!F13</f>
        <v>20</v>
      </c>
      <c r="I3" s="11"/>
      <c r="J3" s="10">
        <f>'隨機產生號碼'!F17</f>
        <v>14</v>
      </c>
      <c r="K3" s="11"/>
    </row>
    <row r="4" ht="60.75" customHeight="1">
      <c r="B4" s="12"/>
      <c r="C4" s="13"/>
      <c r="D4" s="12"/>
      <c r="E4" s="13"/>
      <c r="F4" s="12"/>
      <c r="G4" s="13"/>
      <c r="H4" s="12"/>
      <c r="I4" s="13"/>
      <c r="J4" s="12"/>
      <c r="K4" s="13"/>
    </row>
    <row r="5" ht="60.75" customHeight="1">
      <c r="B5" s="10">
        <f>'隨機產生號碼'!F2</f>
        <v>12</v>
      </c>
      <c r="C5" s="11"/>
      <c r="D5" s="10">
        <f>'隨機產生號碼'!F6</f>
        <v>9</v>
      </c>
      <c r="E5" s="11"/>
      <c r="F5" s="10">
        <f>'隨機產生號碼'!F10</f>
        <v>15</v>
      </c>
      <c r="G5" s="11"/>
      <c r="H5" s="10">
        <f>'隨機產生號碼'!F14</f>
        <v>7</v>
      </c>
      <c r="I5" s="11"/>
      <c r="J5" s="10">
        <f>'隨機產生號碼'!F18</f>
        <v>11</v>
      </c>
      <c r="K5" s="11"/>
    </row>
    <row r="6" ht="60.75" customHeight="1">
      <c r="B6" s="12"/>
      <c r="C6" s="13"/>
      <c r="D6" s="12"/>
      <c r="E6" s="13"/>
      <c r="F6" s="12"/>
      <c r="G6" s="13"/>
      <c r="H6" s="12"/>
      <c r="I6" s="13"/>
      <c r="J6" s="12"/>
      <c r="K6" s="13"/>
    </row>
    <row r="7" ht="60.75" customHeight="1">
      <c r="B7" s="10">
        <f>'隨機產生號碼'!F3</f>
        <v>2</v>
      </c>
      <c r="C7" s="11"/>
      <c r="D7" s="10">
        <f>'隨機產生號碼'!F7</f>
        <v>4</v>
      </c>
      <c r="E7" s="11"/>
      <c r="F7" s="10">
        <f>'隨機產生號碼'!F11</f>
        <v>18</v>
      </c>
      <c r="G7" s="11"/>
      <c r="H7" s="10">
        <f>'隨機產生號碼'!F15</f>
        <v>6</v>
      </c>
      <c r="I7" s="11"/>
      <c r="J7" s="10">
        <f>'隨機產生號碼'!F19</f>
        <v>1</v>
      </c>
      <c r="K7" s="11"/>
      <c r="L7" s="14"/>
    </row>
    <row r="8" ht="60.75" customHeight="1">
      <c r="B8" s="12"/>
      <c r="C8" s="13"/>
      <c r="D8" s="12"/>
      <c r="E8" s="13"/>
      <c r="F8" s="12"/>
      <c r="G8" s="13"/>
      <c r="H8" s="12"/>
      <c r="I8" s="13"/>
      <c r="J8" s="12"/>
      <c r="K8" s="13"/>
    </row>
    <row r="9" ht="60.75" customHeight="1">
      <c r="B9" s="10">
        <f>'隨機產生號碼'!F4</f>
        <v>5</v>
      </c>
      <c r="C9" s="11"/>
      <c r="D9" s="10">
        <f>'隨機產生號碼'!F8</f>
        <v>8</v>
      </c>
      <c r="E9" s="11"/>
      <c r="F9" s="10">
        <f>'隨機產生號碼'!F12</f>
        <v>19</v>
      </c>
      <c r="G9" s="11"/>
      <c r="H9" s="10">
        <f>'隨機產生號碼'!F16</f>
        <v>16</v>
      </c>
      <c r="I9" s="11"/>
      <c r="J9" s="10">
        <f>'隨機產生號碼'!F20</f>
        <v>13</v>
      </c>
      <c r="K9" s="11"/>
    </row>
    <row r="10" ht="60.75" customHeight="1">
      <c r="B10" s="12"/>
      <c r="C10" s="13"/>
      <c r="D10" s="12"/>
      <c r="E10" s="13"/>
      <c r="F10" s="12"/>
      <c r="G10" s="13"/>
      <c r="H10" s="12"/>
      <c r="I10" s="13"/>
      <c r="J10" s="12"/>
      <c r="K10" s="13"/>
    </row>
    <row r="11" ht="62.25" customHeight="1"/>
    <row r="12" ht="62.2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2"/>
    <mergeCell ref="G1:L2"/>
    <mergeCell ref="B3:C4"/>
    <mergeCell ref="D3:E4"/>
    <mergeCell ref="F3:G4"/>
    <mergeCell ref="H3:I4"/>
    <mergeCell ref="J3:K4"/>
    <mergeCell ref="F7:G8"/>
    <mergeCell ref="H7:I8"/>
    <mergeCell ref="B7:C8"/>
    <mergeCell ref="B9:C10"/>
    <mergeCell ref="D9:E10"/>
    <mergeCell ref="F9:G10"/>
    <mergeCell ref="H9:I10"/>
    <mergeCell ref="J9:K10"/>
    <mergeCell ref="B5:C6"/>
    <mergeCell ref="D5:E6"/>
    <mergeCell ref="F5:G6"/>
    <mergeCell ref="H5:I6"/>
    <mergeCell ref="J5:K6"/>
    <mergeCell ref="D7:E8"/>
    <mergeCell ref="J7:K8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9" width="16.43"/>
    <col customWidth="1" min="10" max="11" width="13.71"/>
    <col customWidth="1" min="12" max="12" width="12.0"/>
    <col customWidth="1" min="13" max="26" width="9.14"/>
  </cols>
  <sheetData>
    <row r="1" ht="56.25" customHeight="1">
      <c r="A1" s="1" t="str">
        <f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14AHK9UR7N</v>
      </c>
      <c r="B1" s="2" t="s">
        <v>7</v>
      </c>
      <c r="H1" s="3"/>
      <c r="I1" s="3"/>
      <c r="J1" s="3"/>
      <c r="K1" s="3"/>
      <c r="L1" s="3"/>
    </row>
    <row r="2" ht="55.5" customHeight="1">
      <c r="A2" s="5"/>
      <c r="F2" s="3"/>
      <c r="G2" s="3"/>
      <c r="H2" s="3"/>
      <c r="I2" s="3"/>
      <c r="J2" s="3"/>
      <c r="K2" s="3"/>
      <c r="L2" s="3"/>
    </row>
    <row r="3" ht="60.75" customHeight="1">
      <c r="F3" s="3" t="s">
        <v>8</v>
      </c>
      <c r="G3" s="3"/>
      <c r="H3" s="3"/>
      <c r="I3" s="3"/>
      <c r="J3" s="3"/>
      <c r="K3" s="3"/>
      <c r="L3" s="3"/>
    </row>
    <row r="4" ht="84.75" customHeight="1">
      <c r="A4" s="14"/>
      <c r="B4" s="15">
        <f t="array" ref="B4:B8">'隨機產生號碼'!H1:H5</f>
        <v>16</v>
      </c>
      <c r="C4" s="15">
        <f t="array" ref="C4:C8">'隨機產生號碼'!H6:H10</f>
        <v>37</v>
      </c>
      <c r="D4" s="15">
        <f t="array" ref="D4:D8">'隨機產生號碼'!H11:H15</f>
        <v>26</v>
      </c>
      <c r="E4" s="15">
        <f t="array" ref="E4:E8">'隨機產生號碼'!H16:H20</f>
        <v>7</v>
      </c>
      <c r="F4" s="15">
        <f t="array" ref="F4:F8">'隨機產生號碼'!H21:H25</f>
        <v>10</v>
      </c>
      <c r="G4" s="15">
        <f t="array" ref="G4:G8">'隨機產生號碼'!H26:H30</f>
        <v>13</v>
      </c>
      <c r="H4" s="15">
        <f t="array" ref="H4:H8">'隨機產生號碼'!H31:H35</f>
        <v>6</v>
      </c>
      <c r="I4" s="15">
        <f t="array" ref="I4:I8">'隨機產生號碼'!H36:H40</f>
        <v>23</v>
      </c>
      <c r="J4" s="16"/>
      <c r="K4" s="16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84.75" customHeight="1">
      <c r="A5" s="14"/>
      <c r="B5" s="15">
        <v>5.0</v>
      </c>
      <c r="C5" s="15">
        <v>2.0</v>
      </c>
      <c r="D5" s="15">
        <v>31.0</v>
      </c>
      <c r="E5" s="15">
        <v>25.0</v>
      </c>
      <c r="F5" s="15">
        <v>3.0</v>
      </c>
      <c r="G5" s="15">
        <v>1.0</v>
      </c>
      <c r="H5" s="15">
        <v>12.0</v>
      </c>
      <c r="I5" s="15">
        <v>18.0</v>
      </c>
      <c r="J5" s="16"/>
      <c r="K5" s="16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84.75" customHeight="1">
      <c r="A6" s="14"/>
      <c r="B6" s="15">
        <v>11.0</v>
      </c>
      <c r="C6" s="15">
        <v>30.0</v>
      </c>
      <c r="D6" s="15">
        <v>35.0</v>
      </c>
      <c r="E6" s="15">
        <v>15.0</v>
      </c>
      <c r="F6" s="15">
        <v>14.0</v>
      </c>
      <c r="G6" s="15">
        <v>27.0</v>
      </c>
      <c r="H6" s="15">
        <v>32.0</v>
      </c>
      <c r="I6" s="15">
        <v>19.0</v>
      </c>
      <c r="J6" s="16"/>
      <c r="K6" s="16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84.75" customHeight="1">
      <c r="A7" s="14"/>
      <c r="B7" s="15">
        <v>4.0</v>
      </c>
      <c r="C7" s="15">
        <v>40.0</v>
      </c>
      <c r="D7" s="15">
        <v>9.0</v>
      </c>
      <c r="E7" s="15">
        <v>39.0</v>
      </c>
      <c r="F7" s="15">
        <v>24.0</v>
      </c>
      <c r="G7" s="15">
        <v>8.0</v>
      </c>
      <c r="H7" s="15">
        <v>28.0</v>
      </c>
      <c r="I7" s="15">
        <v>17.0</v>
      </c>
      <c r="J7" s="16"/>
      <c r="K7" s="16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84.75" customHeight="1">
      <c r="A8" s="14"/>
      <c r="B8" s="15">
        <v>34.0</v>
      </c>
      <c r="C8" s="15">
        <v>33.0</v>
      </c>
      <c r="D8" s="15">
        <v>29.0</v>
      </c>
      <c r="E8" s="15">
        <v>20.0</v>
      </c>
      <c r="F8" s="15">
        <v>38.0</v>
      </c>
      <c r="G8" s="15">
        <v>22.0</v>
      </c>
      <c r="H8" s="15">
        <v>36.0</v>
      </c>
      <c r="I8" s="15">
        <v>21.0</v>
      </c>
      <c r="J8" s="16"/>
      <c r="K8" s="16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60.75" customHeight="1">
      <c r="B9" s="17"/>
      <c r="C9" s="17"/>
      <c r="D9" s="17"/>
      <c r="E9" s="17"/>
      <c r="F9" s="17"/>
      <c r="G9" s="17"/>
      <c r="H9" s="17"/>
      <c r="I9" s="17"/>
      <c r="J9" s="17"/>
      <c r="K9" s="17"/>
    </row>
    <row r="10" ht="60.75" customHeight="1"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ht="62.25" customHeight="1"/>
    <row r="12" ht="62.2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3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1" width="13.71"/>
    <col customWidth="1" min="12" max="12" width="12.0"/>
    <col customWidth="1" min="13" max="26" width="9.14"/>
  </cols>
  <sheetData>
    <row r="1" ht="56.25" customHeight="1">
      <c r="A1" s="1" t="str">
        <f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VR6YVXC855</v>
      </c>
      <c r="B1" s="2" t="s">
        <v>9</v>
      </c>
      <c r="G1" s="18" t="s">
        <v>10</v>
      </c>
    </row>
    <row r="2" ht="55.5" customHeight="1">
      <c r="A2" s="5"/>
    </row>
    <row r="3" ht="60.75" customHeight="1">
      <c r="B3" s="8"/>
      <c r="C3" s="8"/>
      <c r="D3" s="8"/>
      <c r="E3" s="8"/>
      <c r="F3" s="8"/>
    </row>
    <row r="4" ht="60.75" customHeight="1">
      <c r="A4" s="14"/>
      <c r="B4" s="15">
        <f t="array" ref="B4:B9">'隨機產生號碼'!J1:J6</f>
        <v>55</v>
      </c>
      <c r="C4" s="15">
        <f t="array" ref="C4:C9">'隨機產生號碼'!J7:J12</f>
        <v>34</v>
      </c>
      <c r="D4" s="15">
        <f t="array" ref="D4:D9">'隨機產生號碼'!J13:J18</f>
        <v>23</v>
      </c>
      <c r="E4" s="15">
        <f t="array" ref="E4:E9">'隨機產生號碼'!J19:J24</f>
        <v>1</v>
      </c>
      <c r="F4" s="15">
        <f t="array" ref="F4:F9">'隨機產生號碼'!J25:J30</f>
        <v>45</v>
      </c>
      <c r="G4" s="15">
        <f t="array" ref="G4:G9">'隨機產生號碼'!J31:J36</f>
        <v>36</v>
      </c>
      <c r="H4" s="15">
        <f t="array" ref="H4:H9">'隨機產生號碼'!J37:J42</f>
        <v>19</v>
      </c>
      <c r="I4" s="15">
        <f t="array" ref="I4:I9">'隨機產生號碼'!J43:J48</f>
        <v>25</v>
      </c>
      <c r="J4" s="15">
        <f t="array" ref="J4:J9">'隨機產生號碼'!J49:J54</f>
        <v>27</v>
      </c>
      <c r="K4" s="15">
        <f t="array" ref="K4:K9">'隨機產生號碼'!J55:J60</f>
        <v>14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60.75" customHeight="1">
      <c r="A5" s="14"/>
      <c r="B5" s="15">
        <v>10.0</v>
      </c>
      <c r="C5" s="15">
        <v>9.0</v>
      </c>
      <c r="D5" s="15">
        <v>21.0</v>
      </c>
      <c r="E5" s="15">
        <v>38.0</v>
      </c>
      <c r="F5" s="15">
        <v>35.0</v>
      </c>
      <c r="G5" s="15">
        <v>4.0</v>
      </c>
      <c r="H5" s="15">
        <v>46.0</v>
      </c>
      <c r="I5" s="15">
        <v>16.0</v>
      </c>
      <c r="J5" s="15">
        <v>48.0</v>
      </c>
      <c r="K5" s="15">
        <v>56.0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60.75" customHeight="1">
      <c r="A6" s="14"/>
      <c r="B6" s="15">
        <v>5.0</v>
      </c>
      <c r="C6" s="15">
        <v>54.0</v>
      </c>
      <c r="D6" s="15">
        <v>17.0</v>
      </c>
      <c r="E6" s="15">
        <v>37.0</v>
      </c>
      <c r="F6" s="15">
        <v>59.0</v>
      </c>
      <c r="G6" s="15">
        <v>52.0</v>
      </c>
      <c r="H6" s="15">
        <v>33.0</v>
      </c>
      <c r="I6" s="15">
        <v>44.0</v>
      </c>
      <c r="J6" s="15">
        <v>2.0</v>
      </c>
      <c r="K6" s="15">
        <v>8.0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60.75" customHeight="1">
      <c r="A7" s="14"/>
      <c r="B7" s="15">
        <v>11.0</v>
      </c>
      <c r="C7" s="15">
        <v>41.0</v>
      </c>
      <c r="D7" s="15">
        <v>29.0</v>
      </c>
      <c r="E7" s="15">
        <v>47.0</v>
      </c>
      <c r="F7" s="15">
        <v>24.0</v>
      </c>
      <c r="G7" s="15">
        <v>40.0</v>
      </c>
      <c r="H7" s="15">
        <v>6.0</v>
      </c>
      <c r="I7" s="15">
        <v>13.0</v>
      </c>
      <c r="J7" s="15">
        <v>31.0</v>
      </c>
      <c r="K7" s="15">
        <v>22.0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60.75" customHeight="1">
      <c r="A8" s="14"/>
      <c r="B8" s="15">
        <v>28.0</v>
      </c>
      <c r="C8" s="15">
        <v>50.0</v>
      </c>
      <c r="D8" s="15">
        <v>18.0</v>
      </c>
      <c r="E8" s="15">
        <v>42.0</v>
      </c>
      <c r="F8" s="15">
        <v>58.0</v>
      </c>
      <c r="G8" s="15">
        <v>7.0</v>
      </c>
      <c r="H8" s="15">
        <v>60.0</v>
      </c>
      <c r="I8" s="15">
        <v>39.0</v>
      </c>
      <c r="J8" s="15">
        <v>20.0</v>
      </c>
      <c r="K8" s="15">
        <v>26.0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60.75" customHeight="1">
      <c r="A9" s="14"/>
      <c r="B9" s="15">
        <v>30.0</v>
      </c>
      <c r="C9" s="15">
        <v>3.0</v>
      </c>
      <c r="D9" s="15">
        <v>53.0</v>
      </c>
      <c r="E9" s="15">
        <v>15.0</v>
      </c>
      <c r="F9" s="15">
        <v>32.0</v>
      </c>
      <c r="G9" s="15">
        <v>12.0</v>
      </c>
      <c r="H9" s="15">
        <v>57.0</v>
      </c>
      <c r="I9" s="15">
        <v>49.0</v>
      </c>
      <c r="J9" s="15">
        <v>51.0</v>
      </c>
      <c r="K9" s="15">
        <v>43.0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60.75" customHeight="1"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ht="62.25" customHeight="1"/>
    <row r="12" ht="62.2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3"/>
    <mergeCell ref="G1:L3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2.71"/>
    <col customWidth="1" min="2" max="13" width="13.43"/>
    <col customWidth="1" min="14" max="26" width="9.14"/>
  </cols>
  <sheetData>
    <row r="1" ht="39.0" customHeight="1">
      <c r="A1" s="1" t="str">
        <f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X6OG1LM2ND</v>
      </c>
      <c r="B1" s="20" t="s">
        <v>11</v>
      </c>
      <c r="E1" s="21" t="s">
        <v>12</v>
      </c>
      <c r="I1" s="3"/>
      <c r="J1" s="3"/>
      <c r="K1" s="4" t="s">
        <v>13</v>
      </c>
    </row>
    <row r="2" ht="39.0" customHeight="1">
      <c r="A2" s="5"/>
      <c r="B2" s="8"/>
      <c r="C2" s="8"/>
      <c r="D2" s="8"/>
      <c r="E2" s="8"/>
      <c r="F2" s="8"/>
      <c r="G2" s="8"/>
      <c r="H2" s="8"/>
      <c r="I2" s="3"/>
      <c r="J2" s="3"/>
      <c r="K2" s="8"/>
      <c r="L2" s="8"/>
    </row>
    <row r="3" ht="56.25" customHeight="1">
      <c r="A3" s="14"/>
      <c r="B3" s="15">
        <f t="array" ref="B3:B12">'隨機產生號碼'!$L1:$L10</f>
        <v>8</v>
      </c>
      <c r="C3" s="15">
        <f t="array" ref="C3:C12">'隨機產生號碼'!$L11:$L20</f>
        <v>117</v>
      </c>
      <c r="D3" s="15">
        <f t="array" ref="D3:D12">'隨機產生號碼'!$L21:$L30</f>
        <v>84</v>
      </c>
      <c r="E3" s="15">
        <f t="array" ref="E3:E12">'隨機產生號碼'!$L31:$L40</f>
        <v>69</v>
      </c>
      <c r="F3" s="15">
        <f t="array" ref="F3:F12">'隨機產生號碼'!$L41:$L50</f>
        <v>83</v>
      </c>
      <c r="G3" s="15">
        <f t="array" ref="G3:G12">'隨機產生號碼'!$L51:$L60</f>
        <v>66</v>
      </c>
      <c r="H3" s="15">
        <f t="array" ref="H3:H12">'隨機產生號碼'!$L61:$L70</f>
        <v>95</v>
      </c>
      <c r="I3" s="15">
        <f t="array" ref="I3:I12">'隨機產生號碼'!$L71:$L80</f>
        <v>81</v>
      </c>
      <c r="J3" s="15">
        <f t="array" ref="J3:J12">'隨機產生號碼'!$L81:$L90</f>
        <v>53</v>
      </c>
      <c r="K3" s="15">
        <f t="array" ref="K3:K12">'隨機產生號碼'!$L91:$L100</f>
        <v>54</v>
      </c>
      <c r="L3" s="15">
        <f t="array" ref="L3:L12">'隨機產生號碼'!$L101:$L110</f>
        <v>44</v>
      </c>
      <c r="M3" s="15">
        <f t="array" ref="M3:M12">'隨機產生號碼'!$L111:$L120</f>
        <v>73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56.25" customHeight="1">
      <c r="A4" s="14"/>
      <c r="B4" s="15">
        <v>75.0</v>
      </c>
      <c r="C4" s="15">
        <v>85.0</v>
      </c>
      <c r="D4" s="15">
        <v>71.0</v>
      </c>
      <c r="E4" s="15">
        <v>34.0</v>
      </c>
      <c r="F4" s="15">
        <v>99.0</v>
      </c>
      <c r="G4" s="15">
        <v>30.0</v>
      </c>
      <c r="H4" s="15">
        <v>118.0</v>
      </c>
      <c r="I4" s="15">
        <v>87.0</v>
      </c>
      <c r="J4" s="15">
        <v>42.0</v>
      </c>
      <c r="K4" s="15">
        <v>36.0</v>
      </c>
      <c r="L4" s="15">
        <v>88.0</v>
      </c>
      <c r="M4" s="15">
        <v>7.0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6.25" customHeight="1">
      <c r="A5" s="14"/>
      <c r="B5" s="15">
        <v>62.0</v>
      </c>
      <c r="C5" s="15">
        <v>47.0</v>
      </c>
      <c r="D5" s="15">
        <v>23.0</v>
      </c>
      <c r="E5" s="15">
        <v>13.0</v>
      </c>
      <c r="F5" s="15">
        <v>2.0</v>
      </c>
      <c r="G5" s="15">
        <v>98.0</v>
      </c>
      <c r="H5" s="15">
        <v>70.0</v>
      </c>
      <c r="I5" s="15">
        <v>33.0</v>
      </c>
      <c r="J5" s="15">
        <v>72.0</v>
      </c>
      <c r="K5" s="15">
        <v>67.0</v>
      </c>
      <c r="L5" s="15">
        <v>103.0</v>
      </c>
      <c r="M5" s="15">
        <v>31.0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6.25" customHeight="1">
      <c r="A6" s="14"/>
      <c r="B6" s="15">
        <v>57.0</v>
      </c>
      <c r="C6" s="15">
        <v>65.0</v>
      </c>
      <c r="D6" s="15">
        <v>4.0</v>
      </c>
      <c r="E6" s="15">
        <v>32.0</v>
      </c>
      <c r="F6" s="15">
        <v>60.0</v>
      </c>
      <c r="G6" s="15">
        <v>80.0</v>
      </c>
      <c r="H6" s="15">
        <v>39.0</v>
      </c>
      <c r="I6" s="15">
        <v>38.0</v>
      </c>
      <c r="J6" s="15">
        <v>52.0</v>
      </c>
      <c r="K6" s="15">
        <v>100.0</v>
      </c>
      <c r="L6" s="15">
        <v>1.0</v>
      </c>
      <c r="M6" s="15">
        <v>90.0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6.25" customHeight="1">
      <c r="A7" s="14"/>
      <c r="B7" s="15">
        <v>21.0</v>
      </c>
      <c r="C7" s="15">
        <v>3.0</v>
      </c>
      <c r="D7" s="15">
        <v>14.0</v>
      </c>
      <c r="E7" s="15">
        <v>5.0</v>
      </c>
      <c r="F7" s="15">
        <v>86.0</v>
      </c>
      <c r="G7" s="15">
        <v>116.0</v>
      </c>
      <c r="H7" s="15">
        <v>120.0</v>
      </c>
      <c r="I7" s="15">
        <v>111.0</v>
      </c>
      <c r="J7" s="15">
        <v>26.0</v>
      </c>
      <c r="K7" s="15">
        <v>51.0</v>
      </c>
      <c r="L7" s="15">
        <v>76.0</v>
      </c>
      <c r="M7" s="15">
        <v>119.0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6.25" customHeight="1">
      <c r="A8" s="14"/>
      <c r="B8" s="15">
        <v>104.0</v>
      </c>
      <c r="C8" s="15">
        <v>35.0</v>
      </c>
      <c r="D8" s="15">
        <v>94.0</v>
      </c>
      <c r="E8" s="15">
        <v>74.0</v>
      </c>
      <c r="F8" s="15">
        <v>102.0</v>
      </c>
      <c r="G8" s="15">
        <v>24.0</v>
      </c>
      <c r="H8" s="15">
        <v>18.0</v>
      </c>
      <c r="I8" s="15">
        <v>79.0</v>
      </c>
      <c r="J8" s="15">
        <v>12.0</v>
      </c>
      <c r="K8" s="15">
        <v>105.0</v>
      </c>
      <c r="L8" s="15">
        <v>114.0</v>
      </c>
      <c r="M8" s="15">
        <v>97.0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6.25" customHeight="1">
      <c r="A9" s="14"/>
      <c r="B9" s="15">
        <v>112.0</v>
      </c>
      <c r="C9" s="15">
        <v>108.0</v>
      </c>
      <c r="D9" s="15">
        <v>19.0</v>
      </c>
      <c r="E9" s="15">
        <v>109.0</v>
      </c>
      <c r="F9" s="15">
        <v>43.0</v>
      </c>
      <c r="G9" s="15">
        <v>77.0</v>
      </c>
      <c r="H9" s="15">
        <v>41.0</v>
      </c>
      <c r="I9" s="15">
        <v>11.0</v>
      </c>
      <c r="J9" s="15">
        <v>115.0</v>
      </c>
      <c r="K9" s="15">
        <v>82.0</v>
      </c>
      <c r="L9" s="15">
        <v>27.0</v>
      </c>
      <c r="M9" s="15">
        <v>61.0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6.25" customHeight="1">
      <c r="A10" s="14"/>
      <c r="B10" s="15">
        <v>28.0</v>
      </c>
      <c r="C10" s="15">
        <v>17.0</v>
      </c>
      <c r="D10" s="15">
        <v>6.0</v>
      </c>
      <c r="E10" s="15">
        <v>93.0</v>
      </c>
      <c r="F10" s="15">
        <v>15.0</v>
      </c>
      <c r="G10" s="15">
        <v>29.0</v>
      </c>
      <c r="H10" s="15">
        <v>16.0</v>
      </c>
      <c r="I10" s="15">
        <v>22.0</v>
      </c>
      <c r="J10" s="15">
        <v>113.0</v>
      </c>
      <c r="K10" s="15">
        <v>10.0</v>
      </c>
      <c r="L10" s="15">
        <v>45.0</v>
      </c>
      <c r="M10" s="15">
        <v>107.0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6.25" customHeight="1">
      <c r="A11" s="14"/>
      <c r="B11" s="15">
        <v>63.0</v>
      </c>
      <c r="C11" s="15">
        <v>68.0</v>
      </c>
      <c r="D11" s="15">
        <v>40.0</v>
      </c>
      <c r="E11" s="15">
        <v>96.0</v>
      </c>
      <c r="F11" s="15">
        <v>59.0</v>
      </c>
      <c r="G11" s="15">
        <v>48.0</v>
      </c>
      <c r="H11" s="15">
        <v>91.0</v>
      </c>
      <c r="I11" s="15">
        <v>101.0</v>
      </c>
      <c r="J11" s="15">
        <v>92.0</v>
      </c>
      <c r="K11" s="15">
        <v>20.0</v>
      </c>
      <c r="L11" s="15">
        <v>49.0</v>
      </c>
      <c r="M11" s="15">
        <v>25.0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6.25" customHeight="1">
      <c r="A12" s="14"/>
      <c r="B12" s="15">
        <v>89.0</v>
      </c>
      <c r="C12" s="15">
        <v>50.0</v>
      </c>
      <c r="D12" s="15">
        <v>37.0</v>
      </c>
      <c r="E12" s="15">
        <v>55.0</v>
      </c>
      <c r="F12" s="15">
        <v>9.0</v>
      </c>
      <c r="G12" s="15">
        <v>58.0</v>
      </c>
      <c r="H12" s="15">
        <v>64.0</v>
      </c>
      <c r="I12" s="15">
        <v>78.0</v>
      </c>
      <c r="J12" s="15">
        <v>106.0</v>
      </c>
      <c r="K12" s="15">
        <v>56.0</v>
      </c>
      <c r="L12" s="15">
        <v>110.0</v>
      </c>
      <c r="M12" s="15">
        <v>46.0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2"/>
    <mergeCell ref="E1:H2"/>
    <mergeCell ref="K1:L2"/>
  </mergeCells>
  <printOptions/>
  <pageMargins bottom="0.0" footer="0.0" header="0.0" left="0.07874015748031496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1" width="13.71"/>
    <col customWidth="1" min="12" max="12" width="12.0"/>
    <col customWidth="1" min="13" max="26" width="9.14"/>
  </cols>
  <sheetData>
    <row r="1" ht="36.75" customHeight="1">
      <c r="A1" s="1" t="str">
        <f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35HDUX5Z10</v>
      </c>
      <c r="B1" s="22" t="s">
        <v>14</v>
      </c>
      <c r="E1" s="23" t="s">
        <v>15</v>
      </c>
      <c r="I1" s="24" t="s">
        <v>16</v>
      </c>
      <c r="K1" s="3"/>
      <c r="L1" s="3"/>
    </row>
    <row r="2" ht="36.75" customHeight="1">
      <c r="A2" s="5"/>
      <c r="B2" s="8"/>
      <c r="C2" s="8"/>
      <c r="D2" s="8"/>
      <c r="E2" s="8"/>
      <c r="F2" s="8"/>
      <c r="G2" s="8"/>
      <c r="H2" s="8"/>
      <c r="I2" s="8"/>
      <c r="J2" s="8"/>
      <c r="K2" s="3"/>
      <c r="L2" s="3"/>
    </row>
    <row r="3" ht="56.25" customHeight="1">
      <c r="A3" s="14"/>
      <c r="B3" s="15">
        <f t="array" ref="B3:B12">'隨機產生號碼'!N1:N10</f>
        <v>28</v>
      </c>
      <c r="C3" s="15">
        <f t="array" ref="C3:C12">'隨機產生號碼'!N11:N20</f>
        <v>45</v>
      </c>
      <c r="D3" s="15">
        <f t="array" ref="D3:D12">'隨機產生號碼'!N21:N30</f>
        <v>72</v>
      </c>
      <c r="E3" s="15">
        <f t="array" ref="E3:E12">'隨機產生號碼'!N31:N40</f>
        <v>51</v>
      </c>
      <c r="F3" s="15">
        <f t="array" ref="F3:F12">'隨機產生號碼'!N41:N50</f>
        <v>3</v>
      </c>
      <c r="G3" s="15">
        <f t="array" ref="G3:G12">'隨機產生號碼'!N51:N60</f>
        <v>85</v>
      </c>
      <c r="H3" s="15">
        <f t="array" ref="H3:H12">'隨機產生號碼'!N61:N70</f>
        <v>16</v>
      </c>
      <c r="I3" s="15">
        <f t="array" ref="I3:I12">'隨機產生號碼'!N71:N80</f>
        <v>20</v>
      </c>
      <c r="J3" s="15">
        <f t="array" ref="J3:J12">'隨機產生號碼'!N81:N90</f>
        <v>14</v>
      </c>
      <c r="K3" s="15">
        <f t="array" ref="K3:K12">'隨機產生號碼'!N91:N100</f>
        <v>56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56.25" customHeight="1">
      <c r="A4" s="14"/>
      <c r="B4" s="15">
        <v>38.0</v>
      </c>
      <c r="C4" s="15">
        <v>8.0</v>
      </c>
      <c r="D4" s="15">
        <v>97.0</v>
      </c>
      <c r="E4" s="15">
        <v>80.0</v>
      </c>
      <c r="F4" s="15">
        <v>40.0</v>
      </c>
      <c r="G4" s="15">
        <v>77.0</v>
      </c>
      <c r="H4" s="15">
        <v>6.0</v>
      </c>
      <c r="I4" s="15">
        <v>69.0</v>
      </c>
      <c r="J4" s="15">
        <v>74.0</v>
      </c>
      <c r="K4" s="15">
        <v>35.0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6.25" customHeight="1">
      <c r="A5" s="14"/>
      <c r="B5" s="15">
        <v>88.0</v>
      </c>
      <c r="C5" s="15">
        <v>49.0</v>
      </c>
      <c r="D5" s="15">
        <v>1.0</v>
      </c>
      <c r="E5" s="15">
        <v>83.0</v>
      </c>
      <c r="F5" s="15">
        <v>61.0</v>
      </c>
      <c r="G5" s="15">
        <v>84.0</v>
      </c>
      <c r="H5" s="15">
        <v>82.0</v>
      </c>
      <c r="I5" s="15">
        <v>9.0</v>
      </c>
      <c r="J5" s="15">
        <v>25.0</v>
      </c>
      <c r="K5" s="15">
        <v>5.0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6.25" customHeight="1">
      <c r="A6" s="14"/>
      <c r="B6" s="15">
        <v>94.0</v>
      </c>
      <c r="C6" s="15">
        <v>93.0</v>
      </c>
      <c r="D6" s="15">
        <v>73.0</v>
      </c>
      <c r="E6" s="15">
        <v>95.0</v>
      </c>
      <c r="F6" s="15">
        <v>27.0</v>
      </c>
      <c r="G6" s="15">
        <v>41.0</v>
      </c>
      <c r="H6" s="15">
        <v>79.0</v>
      </c>
      <c r="I6" s="15">
        <v>90.0</v>
      </c>
      <c r="J6" s="15">
        <v>33.0</v>
      </c>
      <c r="K6" s="15">
        <v>36.0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6.25" customHeight="1">
      <c r="A7" s="14"/>
      <c r="B7" s="15">
        <v>23.0</v>
      </c>
      <c r="C7" s="15">
        <v>24.0</v>
      </c>
      <c r="D7" s="15">
        <v>13.0</v>
      </c>
      <c r="E7" s="15">
        <v>58.0</v>
      </c>
      <c r="F7" s="15">
        <v>70.0</v>
      </c>
      <c r="G7" s="15">
        <v>44.0</v>
      </c>
      <c r="H7" s="15">
        <v>10.0</v>
      </c>
      <c r="I7" s="15">
        <v>71.0</v>
      </c>
      <c r="J7" s="15">
        <v>96.0</v>
      </c>
      <c r="K7" s="15">
        <v>62.0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6.25" customHeight="1">
      <c r="A8" s="14"/>
      <c r="B8" s="15">
        <v>98.0</v>
      </c>
      <c r="C8" s="15">
        <v>43.0</v>
      </c>
      <c r="D8" s="15">
        <v>4.0</v>
      </c>
      <c r="E8" s="15">
        <v>64.0</v>
      </c>
      <c r="F8" s="15">
        <v>21.0</v>
      </c>
      <c r="G8" s="15">
        <v>52.0</v>
      </c>
      <c r="H8" s="15">
        <v>76.0</v>
      </c>
      <c r="I8" s="15">
        <v>18.0</v>
      </c>
      <c r="J8" s="15">
        <v>47.0</v>
      </c>
      <c r="K8" s="15">
        <v>65.0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6.25" customHeight="1">
      <c r="A9" s="14"/>
      <c r="B9" s="15">
        <v>12.0</v>
      </c>
      <c r="C9" s="15">
        <v>29.0</v>
      </c>
      <c r="D9" s="15">
        <v>11.0</v>
      </c>
      <c r="E9" s="15">
        <v>59.0</v>
      </c>
      <c r="F9" s="15">
        <v>15.0</v>
      </c>
      <c r="G9" s="15">
        <v>86.0</v>
      </c>
      <c r="H9" s="15">
        <v>92.0</v>
      </c>
      <c r="I9" s="15">
        <v>66.0</v>
      </c>
      <c r="J9" s="15">
        <v>89.0</v>
      </c>
      <c r="K9" s="15">
        <v>26.0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6.25" customHeight="1">
      <c r="A10" s="14"/>
      <c r="B10" s="15">
        <v>91.0</v>
      </c>
      <c r="C10" s="15">
        <v>53.0</v>
      </c>
      <c r="D10" s="15">
        <v>34.0</v>
      </c>
      <c r="E10" s="15">
        <v>55.0</v>
      </c>
      <c r="F10" s="15">
        <v>32.0</v>
      </c>
      <c r="G10" s="15">
        <v>2.0</v>
      </c>
      <c r="H10" s="15">
        <v>63.0</v>
      </c>
      <c r="I10" s="15">
        <v>54.0</v>
      </c>
      <c r="J10" s="15">
        <v>100.0</v>
      </c>
      <c r="K10" s="15">
        <v>60.0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62.25" customHeight="1">
      <c r="B11" s="15">
        <v>39.0</v>
      </c>
      <c r="C11" s="15">
        <v>37.0</v>
      </c>
      <c r="D11" s="15">
        <v>42.0</v>
      </c>
      <c r="E11" s="15">
        <v>67.0</v>
      </c>
      <c r="F11" s="15">
        <v>46.0</v>
      </c>
      <c r="G11" s="15">
        <v>81.0</v>
      </c>
      <c r="H11" s="15">
        <v>78.0</v>
      </c>
      <c r="I11" s="15">
        <v>57.0</v>
      </c>
      <c r="J11" s="15">
        <v>19.0</v>
      </c>
      <c r="K11" s="15">
        <v>30.0</v>
      </c>
    </row>
    <row r="12" ht="62.25" customHeight="1">
      <c r="B12" s="15">
        <v>48.0</v>
      </c>
      <c r="C12" s="15">
        <v>87.0</v>
      </c>
      <c r="D12" s="15">
        <v>22.0</v>
      </c>
      <c r="E12" s="15">
        <v>50.0</v>
      </c>
      <c r="F12" s="15">
        <v>68.0</v>
      </c>
      <c r="G12" s="15">
        <v>99.0</v>
      </c>
      <c r="H12" s="15">
        <v>31.0</v>
      </c>
      <c r="I12" s="15">
        <v>17.0</v>
      </c>
      <c r="J12" s="15">
        <v>75.0</v>
      </c>
      <c r="K12" s="15">
        <v>7.0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2"/>
    <mergeCell ref="E1:H2"/>
    <mergeCell ref="I1:J2"/>
  </mergeCells>
  <printOptions/>
  <pageMargins bottom="0.0" footer="0.0" header="0.0" left="0.0" right="0.0" top="0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11" width="13.71"/>
    <col customWidth="1" min="12" max="12" width="12.0"/>
    <col customWidth="1" min="13" max="26" width="9.14"/>
  </cols>
  <sheetData>
    <row r="1" ht="56.25" customHeight="1">
      <c r="A1" s="1" t="str">
        <f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V7D6K4PCGE</v>
      </c>
      <c r="B1" s="2" t="s">
        <v>17</v>
      </c>
      <c r="G1" s="4" t="s">
        <v>18</v>
      </c>
    </row>
    <row r="2" ht="55.5" customHeight="1">
      <c r="A2" s="5"/>
      <c r="B2" s="8"/>
      <c r="C2" s="8"/>
      <c r="D2" s="8"/>
      <c r="E2" s="8"/>
      <c r="F2" s="8"/>
    </row>
    <row r="3" ht="60.75" customHeight="1">
      <c r="A3" s="14"/>
      <c r="B3" s="15">
        <f t="array" ref="B3:B10">'隨機產生號碼'!B1:B8</f>
        <v>47</v>
      </c>
      <c r="C3" s="15">
        <f t="array" ref="C3:C10">'隨機產生號碼'!B9:B16</f>
        <v>19</v>
      </c>
      <c r="D3" s="15">
        <f t="array" ref="D3:D10">'隨機產生號碼'!B17:B24</f>
        <v>25</v>
      </c>
      <c r="E3" s="15">
        <f t="array" ref="E3:E10">'隨機產生號碼'!B25:B32</f>
        <v>38</v>
      </c>
      <c r="F3" s="15">
        <f t="array" ref="F3:F10">'隨機產生號碼'!B33:B40</f>
        <v>17</v>
      </c>
      <c r="G3" s="15">
        <f t="array" ref="G3:G10">'隨機產生號碼'!B41:B48</f>
        <v>62</v>
      </c>
      <c r="H3" s="15">
        <f t="array" ref="H3:H10">'隨機產生號碼'!B49:B56</f>
        <v>31</v>
      </c>
      <c r="I3" s="15">
        <f t="array" ref="I3:I10">'隨機產生號碼'!B57:B64</f>
        <v>71</v>
      </c>
      <c r="J3" s="15">
        <f t="array" ref="J3:J10">'隨機產生號碼'!B65:B72</f>
        <v>26</v>
      </c>
      <c r="K3" s="15">
        <f t="array" ref="K3:K10">'隨機產生號碼'!B73:B80</f>
        <v>27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60.75" customHeight="1">
      <c r="A4" s="14"/>
      <c r="B4" s="15">
        <v>46.0</v>
      </c>
      <c r="C4" s="15">
        <v>49.0</v>
      </c>
      <c r="D4" s="15">
        <v>10.0</v>
      </c>
      <c r="E4" s="15">
        <v>29.0</v>
      </c>
      <c r="F4" s="15">
        <v>70.0</v>
      </c>
      <c r="G4" s="15">
        <v>50.0</v>
      </c>
      <c r="H4" s="15">
        <v>51.0</v>
      </c>
      <c r="I4" s="15">
        <v>35.0</v>
      </c>
      <c r="J4" s="15">
        <v>67.0</v>
      </c>
      <c r="K4" s="15">
        <v>28.0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60.75" customHeight="1">
      <c r="A5" s="14"/>
      <c r="B5" s="15">
        <v>33.0</v>
      </c>
      <c r="C5" s="15">
        <v>65.0</v>
      </c>
      <c r="D5" s="15">
        <v>13.0</v>
      </c>
      <c r="E5" s="15">
        <v>23.0</v>
      </c>
      <c r="F5" s="15">
        <v>44.0</v>
      </c>
      <c r="G5" s="15">
        <v>30.0</v>
      </c>
      <c r="H5" s="15">
        <v>40.0</v>
      </c>
      <c r="I5" s="15">
        <v>68.0</v>
      </c>
      <c r="J5" s="15">
        <v>24.0</v>
      </c>
      <c r="K5" s="15">
        <v>9.0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60.75" customHeight="1">
      <c r="A6" s="14"/>
      <c r="B6" s="15">
        <v>8.0</v>
      </c>
      <c r="C6" s="15">
        <v>66.0</v>
      </c>
      <c r="D6" s="15">
        <v>64.0</v>
      </c>
      <c r="E6" s="15">
        <v>77.0</v>
      </c>
      <c r="F6" s="15">
        <v>15.0</v>
      </c>
      <c r="G6" s="15">
        <v>56.0</v>
      </c>
      <c r="H6" s="15">
        <v>43.0</v>
      </c>
      <c r="I6" s="15">
        <v>5.0</v>
      </c>
      <c r="J6" s="15">
        <v>41.0</v>
      </c>
      <c r="K6" s="15">
        <v>2.0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60.75" customHeight="1">
      <c r="A7" s="14"/>
      <c r="B7" s="15">
        <v>54.0</v>
      </c>
      <c r="C7" s="15">
        <v>79.0</v>
      </c>
      <c r="D7" s="15">
        <v>59.0</v>
      </c>
      <c r="E7" s="15">
        <v>76.0</v>
      </c>
      <c r="F7" s="15">
        <v>72.0</v>
      </c>
      <c r="G7" s="15">
        <v>61.0</v>
      </c>
      <c r="H7" s="15">
        <v>1.0</v>
      </c>
      <c r="I7" s="15">
        <v>6.0</v>
      </c>
      <c r="J7" s="15">
        <v>53.0</v>
      </c>
      <c r="K7" s="15">
        <v>52.0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60.75" customHeight="1">
      <c r="A8" s="14"/>
      <c r="B8" s="15">
        <v>39.0</v>
      </c>
      <c r="C8" s="15">
        <v>45.0</v>
      </c>
      <c r="D8" s="15">
        <v>36.0</v>
      </c>
      <c r="E8" s="15">
        <v>74.0</v>
      </c>
      <c r="F8" s="15">
        <v>18.0</v>
      </c>
      <c r="G8" s="15">
        <v>48.0</v>
      </c>
      <c r="H8" s="15">
        <v>58.0</v>
      </c>
      <c r="I8" s="15">
        <v>34.0</v>
      </c>
      <c r="J8" s="15">
        <v>57.0</v>
      </c>
      <c r="K8" s="15">
        <v>63.0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60.75" customHeight="1">
      <c r="A9" s="14"/>
      <c r="B9" s="15">
        <v>20.0</v>
      </c>
      <c r="C9" s="15">
        <v>42.0</v>
      </c>
      <c r="D9" s="15">
        <v>22.0</v>
      </c>
      <c r="E9" s="15">
        <v>7.0</v>
      </c>
      <c r="F9" s="15">
        <v>32.0</v>
      </c>
      <c r="G9" s="15">
        <v>73.0</v>
      </c>
      <c r="H9" s="15">
        <v>80.0</v>
      </c>
      <c r="I9" s="15">
        <v>11.0</v>
      </c>
      <c r="J9" s="15">
        <v>37.0</v>
      </c>
      <c r="K9" s="15">
        <v>69.0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60.75" customHeight="1">
      <c r="A10" s="14"/>
      <c r="B10" s="15">
        <v>16.0</v>
      </c>
      <c r="C10" s="15">
        <v>3.0</v>
      </c>
      <c r="D10" s="15">
        <v>60.0</v>
      </c>
      <c r="E10" s="15">
        <v>4.0</v>
      </c>
      <c r="F10" s="15">
        <v>55.0</v>
      </c>
      <c r="G10" s="15">
        <v>75.0</v>
      </c>
      <c r="H10" s="15">
        <v>78.0</v>
      </c>
      <c r="I10" s="15">
        <v>14.0</v>
      </c>
      <c r="J10" s="15">
        <v>12.0</v>
      </c>
      <c r="K10" s="15">
        <v>21.0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62.25" customHeight="1"/>
    <row r="12" ht="62.2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2"/>
    <mergeCell ref="G1:L2"/>
  </mergeCells>
  <printOptions/>
  <pageMargins bottom="0.0" footer="0.0" header="0.0" left="0.0" right="0.0" top="0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5.75" customHeight="1">
      <c r="A1" s="25">
        <f t="shared" ref="A1:A80" si="1">RAND()</f>
        <v>0.4101227146</v>
      </c>
      <c r="B1" s="25">
        <f t="shared" ref="B1:B80" si="2">RANK(A1,$A$1:$A$80)</f>
        <v>47</v>
      </c>
      <c r="C1" s="25">
        <f t="shared" ref="C1:C160" si="3">RAND()</f>
        <v>0.8505130944</v>
      </c>
      <c r="D1" s="25">
        <f t="shared" ref="D1:D160" si="4">RANK(C1,$C$1:$C$160)</f>
        <v>26</v>
      </c>
      <c r="E1" s="7">
        <f t="shared" ref="E1:E20" si="5">RAND()</f>
        <v>0.5067069762</v>
      </c>
      <c r="F1" s="7">
        <f>RANK(E1,E1:E20)</f>
        <v>10</v>
      </c>
      <c r="G1" s="7">
        <f t="shared" ref="G1:G40" si="6">RAND()</f>
        <v>0.6823081324</v>
      </c>
      <c r="H1" s="7">
        <f t="shared" ref="H1:H40" si="7">RANK(G1,$G$1:$G$40)</f>
        <v>16</v>
      </c>
      <c r="I1" s="7">
        <f t="shared" ref="I1:I60" si="8">RAND()</f>
        <v>0.05411867108</v>
      </c>
      <c r="J1" s="7">
        <f t="shared" ref="J1:J60" si="9">RANK(I1,$I$1:$I$60)</f>
        <v>55</v>
      </c>
      <c r="K1" s="7">
        <f t="shared" ref="K1:K120" si="10">RAND()</f>
        <v>0.9427583877</v>
      </c>
      <c r="L1" s="7">
        <f t="shared" ref="L1:L120" si="11">RANK(K1,$K$1:$K$120)</f>
        <v>8</v>
      </c>
      <c r="M1" s="7">
        <f t="shared" ref="M1:M100" si="12">RAND()</f>
        <v>0.7946248322</v>
      </c>
      <c r="N1" s="7">
        <f t="shared" ref="N1:N100" si="13">RANK(M1,$M$1:$M$100)</f>
        <v>28</v>
      </c>
    </row>
    <row r="2" ht="15.75" customHeight="1">
      <c r="A2" s="25">
        <f t="shared" si="1"/>
        <v>0.4215635189</v>
      </c>
      <c r="B2" s="25">
        <f t="shared" si="2"/>
        <v>46</v>
      </c>
      <c r="C2" s="25">
        <f t="shared" si="3"/>
        <v>0.6732486704</v>
      </c>
      <c r="D2" s="25">
        <f t="shared" si="4"/>
        <v>52</v>
      </c>
      <c r="E2" s="7">
        <f t="shared" si="5"/>
        <v>0.4040955325</v>
      </c>
      <c r="F2" s="7">
        <f t="shared" ref="F2:F20" si="14">RANK(E2,$E$1:$E$20)</f>
        <v>12</v>
      </c>
      <c r="G2" s="7">
        <f t="shared" si="6"/>
        <v>0.8810657909</v>
      </c>
      <c r="H2" s="7">
        <f t="shared" si="7"/>
        <v>5</v>
      </c>
      <c r="I2" s="7">
        <f t="shared" si="8"/>
        <v>0.7110774796</v>
      </c>
      <c r="J2" s="7">
        <f t="shared" si="9"/>
        <v>10</v>
      </c>
      <c r="K2" s="7">
        <f t="shared" si="10"/>
        <v>0.342193466</v>
      </c>
      <c r="L2" s="7">
        <f t="shared" si="11"/>
        <v>75</v>
      </c>
      <c r="M2" s="7">
        <f t="shared" si="12"/>
        <v>0.7366001457</v>
      </c>
      <c r="N2" s="7">
        <f t="shared" si="13"/>
        <v>38</v>
      </c>
      <c r="O2" s="7">
        <f t="shared" ref="O2:O81" si="15">RAND()</f>
        <v>0.2260018791</v>
      </c>
      <c r="P2" s="7" t="str">
        <f t="shared" ref="P2:P81" si="16">RANK(O2,$A$1:$A$80)</f>
        <v>#N/A</v>
      </c>
      <c r="Q2" s="7">
        <f t="shared" ref="Q2:Q161" si="17">RAND()</f>
        <v>0.2843936141</v>
      </c>
      <c r="R2" s="7" t="str">
        <f t="shared" ref="R2:R161" si="18">RANK(Q2,$C$1:$C$160)</f>
        <v>#N/A</v>
      </c>
      <c r="S2" s="7">
        <f t="shared" ref="S2:S21" si="19">RAND()</f>
        <v>0.1084295856</v>
      </c>
      <c r="T2" s="7">
        <f>RANK(S2,S2:S21)</f>
        <v>16</v>
      </c>
      <c r="U2" s="7">
        <f t="shared" ref="U2:U41" si="20">RAND()</f>
        <v>0.9163347211</v>
      </c>
      <c r="V2" s="7" t="str">
        <f t="shared" ref="V2:V41" si="21">RANK(U2,$G$1:$G$40)</f>
        <v>#N/A</v>
      </c>
      <c r="W2" s="7">
        <f t="shared" ref="W2:W61" si="22">RAND()</f>
        <v>0.4985788454</v>
      </c>
      <c r="X2" s="7" t="str">
        <f t="shared" ref="X2:X61" si="23">RANK(W2,$I$1:$I$60)</f>
        <v>#N/A</v>
      </c>
      <c r="Y2" s="7">
        <f t="shared" ref="Y2:Y121" si="24">RAND()</f>
        <v>0.4213880498</v>
      </c>
      <c r="Z2" s="7" t="str">
        <f t="shared" ref="Z2:Z121" si="25">RANK(Y2,$K$1:$K$120)</f>
        <v>#N/A</v>
      </c>
      <c r="AA2" s="7">
        <f t="shared" ref="AA2:AA101" si="26">RAND()</f>
        <v>0.3680261337</v>
      </c>
      <c r="AB2" s="7" t="str">
        <f t="shared" ref="AB2:AB101" si="27">RANK(AA2,$M$1:$M$100)</f>
        <v>#N/A</v>
      </c>
    </row>
    <row r="3" ht="15.75" customHeight="1">
      <c r="A3" s="25">
        <f t="shared" si="1"/>
        <v>0.5762920554</v>
      </c>
      <c r="B3" s="25">
        <f t="shared" si="2"/>
        <v>33</v>
      </c>
      <c r="C3" s="25">
        <f t="shared" si="3"/>
        <v>0.03147935929</v>
      </c>
      <c r="D3" s="25">
        <f t="shared" si="4"/>
        <v>156</v>
      </c>
      <c r="E3" s="7">
        <f t="shared" si="5"/>
        <v>0.9019742613</v>
      </c>
      <c r="F3" s="7">
        <f t="shared" si="14"/>
        <v>2</v>
      </c>
      <c r="G3" s="7">
        <f t="shared" si="6"/>
        <v>0.8107146801</v>
      </c>
      <c r="H3" s="7">
        <f t="shared" si="7"/>
        <v>11</v>
      </c>
      <c r="I3" s="7">
        <f t="shared" si="8"/>
        <v>0.8901359178</v>
      </c>
      <c r="J3" s="7">
        <f t="shared" si="9"/>
        <v>5</v>
      </c>
      <c r="K3" s="7">
        <f t="shared" si="10"/>
        <v>0.4784394708</v>
      </c>
      <c r="L3" s="7">
        <f t="shared" si="11"/>
        <v>62</v>
      </c>
      <c r="M3" s="7">
        <f t="shared" si="12"/>
        <v>0.2076881869</v>
      </c>
      <c r="N3" s="7">
        <f t="shared" si="13"/>
        <v>88</v>
      </c>
      <c r="O3" s="7">
        <f t="shared" si="15"/>
        <v>0.9536590914</v>
      </c>
      <c r="P3" s="7" t="str">
        <f t="shared" si="16"/>
        <v>#N/A</v>
      </c>
      <c r="Q3" s="7">
        <f t="shared" si="17"/>
        <v>0.4189854556</v>
      </c>
      <c r="R3" s="7" t="str">
        <f t="shared" si="18"/>
        <v>#N/A</v>
      </c>
      <c r="S3" s="7">
        <f t="shared" si="19"/>
        <v>0.6698516258</v>
      </c>
      <c r="T3" s="7" t="str">
        <f t="shared" ref="T3:T21" si="28">RANK(S3,$E$1:$E$20)</f>
        <v>#N/A</v>
      </c>
      <c r="U3" s="7">
        <f t="shared" si="20"/>
        <v>0.1989244231</v>
      </c>
      <c r="V3" s="7" t="str">
        <f t="shared" si="21"/>
        <v>#N/A</v>
      </c>
      <c r="W3" s="7">
        <f t="shared" si="22"/>
        <v>0.6058597185</v>
      </c>
      <c r="X3" s="7" t="str">
        <f t="shared" si="23"/>
        <v>#N/A</v>
      </c>
      <c r="Y3" s="7">
        <f t="shared" si="24"/>
        <v>0.1050625294</v>
      </c>
      <c r="Z3" s="7" t="str">
        <f t="shared" si="25"/>
        <v>#N/A</v>
      </c>
      <c r="AA3" s="7">
        <f t="shared" si="26"/>
        <v>0.6032783016</v>
      </c>
      <c r="AB3" s="7" t="str">
        <f t="shared" si="27"/>
        <v>#N/A</v>
      </c>
    </row>
    <row r="4" ht="15.75" customHeight="1">
      <c r="A4" s="25">
        <f t="shared" si="1"/>
        <v>0.8792105847</v>
      </c>
      <c r="B4" s="25">
        <f t="shared" si="2"/>
        <v>8</v>
      </c>
      <c r="C4" s="25">
        <f t="shared" si="3"/>
        <v>0.884720489</v>
      </c>
      <c r="D4" s="25">
        <f t="shared" si="4"/>
        <v>19</v>
      </c>
      <c r="E4" s="7">
        <f t="shared" si="5"/>
        <v>0.7589905902</v>
      </c>
      <c r="F4" s="7">
        <f t="shared" si="14"/>
        <v>5</v>
      </c>
      <c r="G4" s="7">
        <f t="shared" si="6"/>
        <v>0.8821846584</v>
      </c>
      <c r="H4" s="7">
        <f t="shared" si="7"/>
        <v>4</v>
      </c>
      <c r="I4" s="7">
        <f t="shared" si="8"/>
        <v>0.7106243857</v>
      </c>
      <c r="J4" s="7">
        <f t="shared" si="9"/>
        <v>11</v>
      </c>
      <c r="K4" s="7">
        <f t="shared" si="10"/>
        <v>0.5193890744</v>
      </c>
      <c r="L4" s="7">
        <f t="shared" si="11"/>
        <v>57</v>
      </c>
      <c r="M4" s="7">
        <f t="shared" si="12"/>
        <v>0.1050785451</v>
      </c>
      <c r="N4" s="7">
        <f t="shared" si="13"/>
        <v>94</v>
      </c>
      <c r="O4" s="7">
        <f t="shared" si="15"/>
        <v>0.6576848734</v>
      </c>
      <c r="P4" s="7" t="str">
        <f t="shared" si="16"/>
        <v>#N/A</v>
      </c>
      <c r="Q4" s="7">
        <f t="shared" si="17"/>
        <v>0.1333879599</v>
      </c>
      <c r="R4" s="7" t="str">
        <f t="shared" si="18"/>
        <v>#N/A</v>
      </c>
      <c r="S4" s="7">
        <f t="shared" si="19"/>
        <v>0.1149830226</v>
      </c>
      <c r="T4" s="7" t="str">
        <f t="shared" si="28"/>
        <v>#N/A</v>
      </c>
      <c r="U4" s="7">
        <f t="shared" si="20"/>
        <v>0.3443389465</v>
      </c>
      <c r="V4" s="7" t="str">
        <f t="shared" si="21"/>
        <v>#N/A</v>
      </c>
      <c r="W4" s="7">
        <f t="shared" si="22"/>
        <v>0.0145849253</v>
      </c>
      <c r="X4" s="7" t="str">
        <f t="shared" si="23"/>
        <v>#N/A</v>
      </c>
      <c r="Y4" s="7">
        <f t="shared" si="24"/>
        <v>0.4541334605</v>
      </c>
      <c r="Z4" s="7" t="str">
        <f t="shared" si="25"/>
        <v>#N/A</v>
      </c>
      <c r="AA4" s="7">
        <f t="shared" si="26"/>
        <v>0.7251195577</v>
      </c>
      <c r="AB4" s="7" t="str">
        <f t="shared" si="27"/>
        <v>#N/A</v>
      </c>
    </row>
    <row r="5" ht="15.75" customHeight="1">
      <c r="A5" s="25">
        <f t="shared" si="1"/>
        <v>0.327713075</v>
      </c>
      <c r="B5" s="25">
        <f t="shared" si="2"/>
        <v>54</v>
      </c>
      <c r="C5" s="25">
        <f t="shared" si="3"/>
        <v>0.6165097879</v>
      </c>
      <c r="D5" s="25">
        <f t="shared" si="4"/>
        <v>67</v>
      </c>
      <c r="E5" s="7">
        <f t="shared" si="5"/>
        <v>0.808218291</v>
      </c>
      <c r="F5" s="7">
        <f t="shared" si="14"/>
        <v>3</v>
      </c>
      <c r="G5" s="7">
        <f t="shared" si="6"/>
        <v>0.1607406656</v>
      </c>
      <c r="H5" s="7">
        <f t="shared" si="7"/>
        <v>34</v>
      </c>
      <c r="I5" s="7">
        <f t="shared" si="8"/>
        <v>0.4915803561</v>
      </c>
      <c r="J5" s="7">
        <f t="shared" si="9"/>
        <v>28</v>
      </c>
      <c r="K5" s="7">
        <f t="shared" si="10"/>
        <v>0.8267669852</v>
      </c>
      <c r="L5" s="7">
        <f t="shared" si="11"/>
        <v>21</v>
      </c>
      <c r="M5" s="7">
        <f t="shared" si="12"/>
        <v>0.8156250874</v>
      </c>
      <c r="N5" s="7">
        <f t="shared" si="13"/>
        <v>23</v>
      </c>
      <c r="O5" s="7">
        <f t="shared" si="15"/>
        <v>0.5086030148</v>
      </c>
      <c r="P5" s="7" t="str">
        <f t="shared" si="16"/>
        <v>#N/A</v>
      </c>
      <c r="Q5" s="7">
        <f t="shared" si="17"/>
        <v>0.05317009503</v>
      </c>
      <c r="R5" s="7" t="str">
        <f t="shared" si="18"/>
        <v>#N/A</v>
      </c>
      <c r="S5" s="7">
        <f t="shared" si="19"/>
        <v>0.6716822935</v>
      </c>
      <c r="T5" s="7" t="str">
        <f t="shared" si="28"/>
        <v>#N/A</v>
      </c>
      <c r="U5" s="7">
        <f t="shared" si="20"/>
        <v>0.4071617788</v>
      </c>
      <c r="V5" s="7" t="str">
        <f t="shared" si="21"/>
        <v>#N/A</v>
      </c>
      <c r="W5" s="7">
        <f t="shared" si="22"/>
        <v>0.1607907726</v>
      </c>
      <c r="X5" s="7" t="str">
        <f t="shared" si="23"/>
        <v>#N/A</v>
      </c>
      <c r="Y5" s="7">
        <f t="shared" si="24"/>
        <v>0.6557934084</v>
      </c>
      <c r="Z5" s="7" t="str">
        <f t="shared" si="25"/>
        <v>#N/A</v>
      </c>
      <c r="AA5" s="7">
        <f t="shared" si="26"/>
        <v>0.8668187269</v>
      </c>
      <c r="AB5" s="7" t="str">
        <f t="shared" si="27"/>
        <v>#N/A</v>
      </c>
    </row>
    <row r="6" ht="15.75" customHeight="1">
      <c r="A6" s="25">
        <f t="shared" si="1"/>
        <v>0.5377463168</v>
      </c>
      <c r="B6" s="25">
        <f t="shared" si="2"/>
        <v>39</v>
      </c>
      <c r="C6" s="25">
        <f t="shared" si="3"/>
        <v>0.7804301404</v>
      </c>
      <c r="D6" s="25">
        <f t="shared" si="4"/>
        <v>39</v>
      </c>
      <c r="E6" s="7">
        <f t="shared" si="5"/>
        <v>0.5491290722</v>
      </c>
      <c r="F6" s="7">
        <f t="shared" si="14"/>
        <v>9</v>
      </c>
      <c r="G6" s="7">
        <f t="shared" si="6"/>
        <v>0.1177504643</v>
      </c>
      <c r="H6" s="7">
        <f t="shared" si="7"/>
        <v>37</v>
      </c>
      <c r="I6" s="7">
        <f t="shared" si="8"/>
        <v>0.4483569018</v>
      </c>
      <c r="J6" s="7">
        <f t="shared" si="9"/>
        <v>30</v>
      </c>
      <c r="K6" s="7">
        <f t="shared" si="10"/>
        <v>0.1319600912</v>
      </c>
      <c r="L6" s="7">
        <f t="shared" si="11"/>
        <v>104</v>
      </c>
      <c r="M6" s="7">
        <f t="shared" si="12"/>
        <v>0.06928216549</v>
      </c>
      <c r="N6" s="7">
        <f t="shared" si="13"/>
        <v>98</v>
      </c>
      <c r="O6" s="7">
        <f t="shared" si="15"/>
        <v>0.3369807644</v>
      </c>
      <c r="P6" s="7" t="str">
        <f t="shared" si="16"/>
        <v>#N/A</v>
      </c>
      <c r="Q6" s="7">
        <f t="shared" si="17"/>
        <v>0.06130327718</v>
      </c>
      <c r="R6" s="7" t="str">
        <f t="shared" si="18"/>
        <v>#N/A</v>
      </c>
      <c r="S6" s="7">
        <f t="shared" si="19"/>
        <v>0.3518630388</v>
      </c>
      <c r="T6" s="7" t="str">
        <f t="shared" si="28"/>
        <v>#N/A</v>
      </c>
      <c r="U6" s="7">
        <f t="shared" si="20"/>
        <v>0.5853326659</v>
      </c>
      <c r="V6" s="7" t="str">
        <f t="shared" si="21"/>
        <v>#N/A</v>
      </c>
      <c r="W6" s="7">
        <f t="shared" si="22"/>
        <v>0.05046794757</v>
      </c>
      <c r="X6" s="7" t="str">
        <f t="shared" si="23"/>
        <v>#N/A</v>
      </c>
      <c r="Y6" s="7">
        <f t="shared" si="24"/>
        <v>0.2123445907</v>
      </c>
      <c r="Z6" s="7" t="str">
        <f t="shared" si="25"/>
        <v>#N/A</v>
      </c>
      <c r="AA6" s="7">
        <f t="shared" si="26"/>
        <v>0.07383535772</v>
      </c>
      <c r="AB6" s="7" t="str">
        <f t="shared" si="27"/>
        <v>#N/A</v>
      </c>
    </row>
    <row r="7" ht="15.75" customHeight="1">
      <c r="A7" s="25">
        <f t="shared" si="1"/>
        <v>0.7365527161</v>
      </c>
      <c r="B7" s="25">
        <f t="shared" si="2"/>
        <v>20</v>
      </c>
      <c r="C7" s="25">
        <f t="shared" si="3"/>
        <v>0.6270716069</v>
      </c>
      <c r="D7" s="25">
        <f t="shared" si="4"/>
        <v>65</v>
      </c>
      <c r="E7" s="7">
        <f t="shared" si="5"/>
        <v>0.8002012216</v>
      </c>
      <c r="F7" s="7">
        <f t="shared" si="14"/>
        <v>4</v>
      </c>
      <c r="G7" s="7">
        <f t="shared" si="6"/>
        <v>0.9427857447</v>
      </c>
      <c r="H7" s="7">
        <f t="shared" si="7"/>
        <v>2</v>
      </c>
      <c r="I7" s="7">
        <f t="shared" si="8"/>
        <v>0.4232012438</v>
      </c>
      <c r="J7" s="7">
        <f t="shared" si="9"/>
        <v>34</v>
      </c>
      <c r="K7" s="7">
        <f t="shared" si="10"/>
        <v>0.04998599272</v>
      </c>
      <c r="L7" s="7">
        <f t="shared" si="11"/>
        <v>112</v>
      </c>
      <c r="M7" s="7">
        <f t="shared" si="12"/>
        <v>0.9021471047</v>
      </c>
      <c r="N7" s="7">
        <f t="shared" si="13"/>
        <v>12</v>
      </c>
      <c r="O7" s="7">
        <f t="shared" si="15"/>
        <v>0.5956715631</v>
      </c>
      <c r="P7" s="7" t="str">
        <f t="shared" si="16"/>
        <v>#N/A</v>
      </c>
      <c r="Q7" s="7">
        <f t="shared" si="17"/>
        <v>0.8211169919</v>
      </c>
      <c r="R7" s="7" t="str">
        <f t="shared" si="18"/>
        <v>#N/A</v>
      </c>
      <c r="S7" s="7">
        <f t="shared" si="19"/>
        <v>0.4836621954</v>
      </c>
      <c r="T7" s="7" t="str">
        <f t="shared" si="28"/>
        <v>#N/A</v>
      </c>
      <c r="U7" s="7">
        <f t="shared" si="20"/>
        <v>0.4285283659</v>
      </c>
      <c r="V7" s="7" t="str">
        <f t="shared" si="21"/>
        <v>#N/A</v>
      </c>
      <c r="W7" s="7">
        <f t="shared" si="22"/>
        <v>0.2595001357</v>
      </c>
      <c r="X7" s="7" t="str">
        <f t="shared" si="23"/>
        <v>#N/A</v>
      </c>
      <c r="Y7" s="7">
        <f t="shared" si="24"/>
        <v>0.455110645</v>
      </c>
      <c r="Z7" s="7" t="str">
        <f t="shared" si="25"/>
        <v>#N/A</v>
      </c>
      <c r="AA7" s="7">
        <f t="shared" si="26"/>
        <v>0.1977190181</v>
      </c>
      <c r="AB7" s="7" t="str">
        <f t="shared" si="27"/>
        <v>#N/A</v>
      </c>
    </row>
    <row r="8" ht="15.75" customHeight="1">
      <c r="A8" s="25">
        <f t="shared" si="1"/>
        <v>0.7654246669</v>
      </c>
      <c r="B8" s="25">
        <f t="shared" si="2"/>
        <v>16</v>
      </c>
      <c r="C8" s="25">
        <f t="shared" si="3"/>
        <v>0.5739388432</v>
      </c>
      <c r="D8" s="25">
        <f t="shared" si="4"/>
        <v>74</v>
      </c>
      <c r="E8" s="7">
        <f t="shared" si="5"/>
        <v>0.56388732</v>
      </c>
      <c r="F8" s="7">
        <f t="shared" si="14"/>
        <v>8</v>
      </c>
      <c r="G8" s="7">
        <f t="shared" si="6"/>
        <v>0.2433935291</v>
      </c>
      <c r="H8" s="7">
        <f t="shared" si="7"/>
        <v>30</v>
      </c>
      <c r="I8" s="7">
        <f t="shared" si="8"/>
        <v>0.7140634393</v>
      </c>
      <c r="J8" s="7">
        <f t="shared" si="9"/>
        <v>9</v>
      </c>
      <c r="K8" s="7">
        <f t="shared" si="10"/>
        <v>0.7543858135</v>
      </c>
      <c r="L8" s="7">
        <f t="shared" si="11"/>
        <v>28</v>
      </c>
      <c r="M8" s="7">
        <f t="shared" si="12"/>
        <v>0.1486550019</v>
      </c>
      <c r="N8" s="7">
        <f t="shared" si="13"/>
        <v>91</v>
      </c>
      <c r="O8" s="7">
        <f t="shared" si="15"/>
        <v>0.6933780971</v>
      </c>
      <c r="P8" s="7" t="str">
        <f t="shared" si="16"/>
        <v>#N/A</v>
      </c>
      <c r="Q8" s="7">
        <f t="shared" si="17"/>
        <v>0.3236439975</v>
      </c>
      <c r="R8" s="7" t="str">
        <f t="shared" si="18"/>
        <v>#N/A</v>
      </c>
      <c r="S8" s="7">
        <f t="shared" si="19"/>
        <v>0.720252643</v>
      </c>
      <c r="T8" s="7" t="str">
        <f t="shared" si="28"/>
        <v>#N/A</v>
      </c>
      <c r="U8" s="7">
        <f t="shared" si="20"/>
        <v>0.4012182348</v>
      </c>
      <c r="V8" s="7" t="str">
        <f t="shared" si="21"/>
        <v>#N/A</v>
      </c>
      <c r="W8" s="7">
        <f t="shared" si="22"/>
        <v>0.383287904</v>
      </c>
      <c r="X8" s="7" t="str">
        <f t="shared" si="23"/>
        <v>#N/A</v>
      </c>
      <c r="Y8" s="7">
        <f t="shared" si="24"/>
        <v>0.05442187337</v>
      </c>
      <c r="Z8" s="7" t="str">
        <f t="shared" si="25"/>
        <v>#N/A</v>
      </c>
      <c r="AA8" s="7">
        <f t="shared" si="26"/>
        <v>0.3329441161</v>
      </c>
      <c r="AB8" s="7" t="str">
        <f t="shared" si="27"/>
        <v>#N/A</v>
      </c>
    </row>
    <row r="9" ht="15.75" customHeight="1">
      <c r="A9" s="25">
        <f t="shared" si="1"/>
        <v>0.7482559435</v>
      </c>
      <c r="B9" s="25">
        <f t="shared" si="2"/>
        <v>19</v>
      </c>
      <c r="C9" s="25">
        <f t="shared" si="3"/>
        <v>0.0482849729</v>
      </c>
      <c r="D9" s="25">
        <f t="shared" si="4"/>
        <v>154</v>
      </c>
      <c r="E9" s="7">
        <f t="shared" si="5"/>
        <v>0.127203713</v>
      </c>
      <c r="F9" s="7">
        <f t="shared" si="14"/>
        <v>17</v>
      </c>
      <c r="G9" s="7">
        <f t="shared" si="6"/>
        <v>0.04321970443</v>
      </c>
      <c r="H9" s="7">
        <f t="shared" si="7"/>
        <v>40</v>
      </c>
      <c r="I9" s="7">
        <f t="shared" si="8"/>
        <v>0.06301075101</v>
      </c>
      <c r="J9" s="7">
        <f t="shared" si="9"/>
        <v>54</v>
      </c>
      <c r="K9" s="7">
        <f t="shared" si="10"/>
        <v>0.4687369065</v>
      </c>
      <c r="L9" s="7">
        <f t="shared" si="11"/>
        <v>63</v>
      </c>
      <c r="M9" s="7">
        <f t="shared" si="12"/>
        <v>0.7344314658</v>
      </c>
      <c r="N9" s="7">
        <f t="shared" si="13"/>
        <v>39</v>
      </c>
      <c r="O9" s="7">
        <f t="shared" si="15"/>
        <v>0.9645421687</v>
      </c>
      <c r="P9" s="7" t="str">
        <f t="shared" si="16"/>
        <v>#N/A</v>
      </c>
      <c r="Q9" s="7">
        <f t="shared" si="17"/>
        <v>0.5636025821</v>
      </c>
      <c r="R9" s="7" t="str">
        <f t="shared" si="18"/>
        <v>#N/A</v>
      </c>
      <c r="S9" s="7">
        <f t="shared" si="19"/>
        <v>0.09278850703</v>
      </c>
      <c r="T9" s="7" t="str">
        <f t="shared" si="28"/>
        <v>#N/A</v>
      </c>
      <c r="U9" s="7">
        <f t="shared" si="20"/>
        <v>0.9558103847</v>
      </c>
      <c r="V9" s="7" t="str">
        <f t="shared" si="21"/>
        <v>#N/A</v>
      </c>
      <c r="W9" s="7">
        <f t="shared" si="22"/>
        <v>0.2147042718</v>
      </c>
      <c r="X9" s="7" t="str">
        <f t="shared" si="23"/>
        <v>#N/A</v>
      </c>
      <c r="Y9" s="7">
        <f t="shared" si="24"/>
        <v>0.8988290243</v>
      </c>
      <c r="Z9" s="7" t="str">
        <f t="shared" si="25"/>
        <v>#N/A</v>
      </c>
      <c r="AA9" s="7">
        <f t="shared" si="26"/>
        <v>0.0251096809</v>
      </c>
      <c r="AB9" s="7" t="str">
        <f t="shared" si="27"/>
        <v>#N/A</v>
      </c>
    </row>
    <row r="10" ht="15.75" customHeight="1">
      <c r="A10" s="25">
        <f t="shared" si="1"/>
        <v>0.3730887426</v>
      </c>
      <c r="B10" s="25">
        <f t="shared" si="2"/>
        <v>49</v>
      </c>
      <c r="C10" s="25">
        <f t="shared" si="3"/>
        <v>0.3796273513</v>
      </c>
      <c r="D10" s="25">
        <f t="shared" si="4"/>
        <v>101</v>
      </c>
      <c r="E10" s="7">
        <f t="shared" si="5"/>
        <v>0.1692785692</v>
      </c>
      <c r="F10" s="7">
        <f t="shared" si="14"/>
        <v>15</v>
      </c>
      <c r="G10" s="7">
        <f t="shared" si="6"/>
        <v>0.1997547441</v>
      </c>
      <c r="H10" s="7">
        <f t="shared" si="7"/>
        <v>33</v>
      </c>
      <c r="I10" s="7">
        <f t="shared" si="8"/>
        <v>0.2725188442</v>
      </c>
      <c r="J10" s="7">
        <f t="shared" si="9"/>
        <v>41</v>
      </c>
      <c r="K10" s="7">
        <f t="shared" si="10"/>
        <v>0.2333972392</v>
      </c>
      <c r="L10" s="7">
        <f t="shared" si="11"/>
        <v>89</v>
      </c>
      <c r="M10" s="7">
        <f t="shared" si="12"/>
        <v>0.6115269419</v>
      </c>
      <c r="N10" s="7">
        <f t="shared" si="13"/>
        <v>48</v>
      </c>
      <c r="O10" s="7">
        <f t="shared" si="15"/>
        <v>0.3264558691</v>
      </c>
      <c r="P10" s="7" t="str">
        <f t="shared" si="16"/>
        <v>#N/A</v>
      </c>
      <c r="Q10" s="7">
        <f t="shared" si="17"/>
        <v>0.4716138541</v>
      </c>
      <c r="R10" s="7" t="str">
        <f t="shared" si="18"/>
        <v>#N/A</v>
      </c>
      <c r="S10" s="7">
        <f t="shared" si="19"/>
        <v>0.02229640493</v>
      </c>
      <c r="T10" s="7" t="str">
        <f t="shared" si="28"/>
        <v>#N/A</v>
      </c>
      <c r="U10" s="7">
        <f t="shared" si="20"/>
        <v>0.4831784686</v>
      </c>
      <c r="V10" s="7" t="str">
        <f t="shared" si="21"/>
        <v>#N/A</v>
      </c>
      <c r="W10" s="7">
        <f t="shared" si="22"/>
        <v>0.05295299617</v>
      </c>
      <c r="X10" s="7" t="str">
        <f t="shared" si="23"/>
        <v>#N/A</v>
      </c>
      <c r="Y10" s="7">
        <f t="shared" si="24"/>
        <v>0.2352330995</v>
      </c>
      <c r="Z10" s="7" t="str">
        <f t="shared" si="25"/>
        <v>#N/A</v>
      </c>
      <c r="AA10" s="7">
        <f t="shared" si="26"/>
        <v>0.07531927975</v>
      </c>
      <c r="AB10" s="7" t="str">
        <f t="shared" si="27"/>
        <v>#N/A</v>
      </c>
    </row>
    <row r="11" ht="15.75" customHeight="1">
      <c r="A11" s="25">
        <f t="shared" si="1"/>
        <v>0.190612623</v>
      </c>
      <c r="B11" s="25">
        <f t="shared" si="2"/>
        <v>65</v>
      </c>
      <c r="C11" s="25">
        <f t="shared" si="3"/>
        <v>0.9160417872</v>
      </c>
      <c r="D11" s="25">
        <f t="shared" si="4"/>
        <v>15</v>
      </c>
      <c r="E11" s="7">
        <f t="shared" si="5"/>
        <v>0.1112013401</v>
      </c>
      <c r="F11" s="7">
        <f t="shared" si="14"/>
        <v>18</v>
      </c>
      <c r="G11" s="7">
        <f t="shared" si="6"/>
        <v>0.4202274639</v>
      </c>
      <c r="H11" s="7">
        <f t="shared" si="7"/>
        <v>26</v>
      </c>
      <c r="I11" s="7">
        <f t="shared" si="8"/>
        <v>0.1388930218</v>
      </c>
      <c r="J11" s="7">
        <f t="shared" si="9"/>
        <v>50</v>
      </c>
      <c r="K11" s="7">
        <f t="shared" si="10"/>
        <v>0.01638886221</v>
      </c>
      <c r="L11" s="7">
        <f t="shared" si="11"/>
        <v>117</v>
      </c>
      <c r="M11" s="7">
        <f t="shared" si="12"/>
        <v>0.6492502818</v>
      </c>
      <c r="N11" s="7">
        <f t="shared" si="13"/>
        <v>45</v>
      </c>
      <c r="O11" s="7">
        <f t="shared" si="15"/>
        <v>0.1603184292</v>
      </c>
      <c r="P11" s="7" t="str">
        <f t="shared" si="16"/>
        <v>#N/A</v>
      </c>
      <c r="Q11" s="7">
        <f t="shared" si="17"/>
        <v>0.5549708624</v>
      </c>
      <c r="R11" s="7" t="str">
        <f t="shared" si="18"/>
        <v>#N/A</v>
      </c>
      <c r="S11" s="7">
        <f t="shared" si="19"/>
        <v>0.9198356983</v>
      </c>
      <c r="T11" s="7" t="str">
        <f t="shared" si="28"/>
        <v>#N/A</v>
      </c>
      <c r="U11" s="7">
        <f t="shared" si="20"/>
        <v>0.2458807468</v>
      </c>
      <c r="V11" s="7" t="str">
        <f t="shared" si="21"/>
        <v>#N/A</v>
      </c>
      <c r="W11" s="7">
        <f t="shared" si="22"/>
        <v>0.8965594873</v>
      </c>
      <c r="X11" s="7" t="str">
        <f t="shared" si="23"/>
        <v>#N/A</v>
      </c>
      <c r="Y11" s="7">
        <f t="shared" si="24"/>
        <v>0.9451959191</v>
      </c>
      <c r="Z11" s="7" t="str">
        <f t="shared" si="25"/>
        <v>#N/A</v>
      </c>
      <c r="AA11" s="7">
        <f t="shared" si="26"/>
        <v>0.224104958</v>
      </c>
      <c r="AB11" s="7" t="str">
        <f t="shared" si="27"/>
        <v>#N/A</v>
      </c>
    </row>
    <row r="12" ht="15.75" customHeight="1">
      <c r="A12" s="25">
        <f t="shared" si="1"/>
        <v>0.1893980957</v>
      </c>
      <c r="B12" s="25">
        <f t="shared" si="2"/>
        <v>66</v>
      </c>
      <c r="C12" s="25">
        <f t="shared" si="3"/>
        <v>0.5469379926</v>
      </c>
      <c r="D12" s="25">
        <f t="shared" si="4"/>
        <v>76</v>
      </c>
      <c r="E12" s="7">
        <f t="shared" si="5"/>
        <v>0.1099772099</v>
      </c>
      <c r="F12" s="7">
        <f t="shared" si="14"/>
        <v>19</v>
      </c>
      <c r="G12" s="7">
        <f t="shared" si="6"/>
        <v>0.2389717925</v>
      </c>
      <c r="H12" s="7">
        <f t="shared" si="7"/>
        <v>31</v>
      </c>
      <c r="I12" s="7">
        <f t="shared" si="8"/>
        <v>0.9011843472</v>
      </c>
      <c r="J12" s="7">
        <f t="shared" si="9"/>
        <v>3</v>
      </c>
      <c r="K12" s="7">
        <f t="shared" si="10"/>
        <v>0.2738004737</v>
      </c>
      <c r="L12" s="7">
        <f t="shared" si="11"/>
        <v>85</v>
      </c>
      <c r="M12" s="7">
        <f t="shared" si="12"/>
        <v>0.9215529435</v>
      </c>
      <c r="N12" s="7">
        <f t="shared" si="13"/>
        <v>8</v>
      </c>
      <c r="O12" s="7">
        <f t="shared" si="15"/>
        <v>0.5322969396</v>
      </c>
      <c r="P12" s="7" t="str">
        <f t="shared" si="16"/>
        <v>#N/A</v>
      </c>
      <c r="Q12" s="7">
        <f t="shared" si="17"/>
        <v>0.9155778542</v>
      </c>
      <c r="R12" s="7" t="str">
        <f t="shared" si="18"/>
        <v>#N/A</v>
      </c>
      <c r="S12" s="7">
        <f t="shared" si="19"/>
        <v>0.01741256905</v>
      </c>
      <c r="T12" s="7" t="str">
        <f t="shared" si="28"/>
        <v>#N/A</v>
      </c>
      <c r="U12" s="7">
        <f t="shared" si="20"/>
        <v>0.07045133715</v>
      </c>
      <c r="V12" s="7" t="str">
        <f t="shared" si="21"/>
        <v>#N/A</v>
      </c>
      <c r="W12" s="7">
        <f t="shared" si="22"/>
        <v>0.6250542249</v>
      </c>
      <c r="X12" s="7" t="str">
        <f t="shared" si="23"/>
        <v>#N/A</v>
      </c>
      <c r="Y12" s="7">
        <f t="shared" si="24"/>
        <v>0.9076359068</v>
      </c>
      <c r="Z12" s="7" t="str">
        <f t="shared" si="25"/>
        <v>#N/A</v>
      </c>
      <c r="AA12" s="7">
        <f t="shared" si="26"/>
        <v>0.8767834882</v>
      </c>
      <c r="AB12" s="7" t="str">
        <f t="shared" si="27"/>
        <v>#N/A</v>
      </c>
    </row>
    <row r="13" ht="15.75" customHeight="1">
      <c r="A13" s="25">
        <f t="shared" si="1"/>
        <v>0.02587394869</v>
      </c>
      <c r="B13" s="25">
        <f t="shared" si="2"/>
        <v>79</v>
      </c>
      <c r="C13" s="25">
        <f t="shared" si="3"/>
        <v>0.09336627576</v>
      </c>
      <c r="D13" s="25">
        <f t="shared" si="4"/>
        <v>143</v>
      </c>
      <c r="E13" s="7">
        <f t="shared" si="5"/>
        <v>0.06294513334</v>
      </c>
      <c r="F13" s="7">
        <f t="shared" si="14"/>
        <v>20</v>
      </c>
      <c r="G13" s="7">
        <f t="shared" si="6"/>
        <v>0.1491029082</v>
      </c>
      <c r="H13" s="7">
        <f t="shared" si="7"/>
        <v>35</v>
      </c>
      <c r="I13" s="7">
        <f t="shared" si="8"/>
        <v>0.5331437413</v>
      </c>
      <c r="J13" s="7">
        <f t="shared" si="9"/>
        <v>23</v>
      </c>
      <c r="K13" s="7">
        <f t="shared" si="10"/>
        <v>0.6047534312</v>
      </c>
      <c r="L13" s="7">
        <f t="shared" si="11"/>
        <v>47</v>
      </c>
      <c r="M13" s="7">
        <f t="shared" si="12"/>
        <v>0.5844465974</v>
      </c>
      <c r="N13" s="7">
        <f t="shared" si="13"/>
        <v>49</v>
      </c>
      <c r="O13" s="7">
        <f t="shared" si="15"/>
        <v>0.3896037973</v>
      </c>
      <c r="P13" s="7" t="str">
        <f t="shared" si="16"/>
        <v>#N/A</v>
      </c>
      <c r="Q13" s="7">
        <f t="shared" si="17"/>
        <v>0.3539860202</v>
      </c>
      <c r="R13" s="7" t="str">
        <f t="shared" si="18"/>
        <v>#N/A</v>
      </c>
      <c r="S13" s="7">
        <f t="shared" si="19"/>
        <v>0.7411085856</v>
      </c>
      <c r="T13" s="7" t="str">
        <f t="shared" si="28"/>
        <v>#N/A</v>
      </c>
      <c r="U13" s="7">
        <f t="shared" si="20"/>
        <v>0.5662993329</v>
      </c>
      <c r="V13" s="7" t="str">
        <f t="shared" si="21"/>
        <v>#N/A</v>
      </c>
      <c r="W13" s="7">
        <f t="shared" si="22"/>
        <v>0.1609892442</v>
      </c>
      <c r="X13" s="7" t="str">
        <f t="shared" si="23"/>
        <v>#N/A</v>
      </c>
      <c r="Y13" s="7">
        <f t="shared" si="24"/>
        <v>0.7094560055</v>
      </c>
      <c r="Z13" s="7" t="str">
        <f t="shared" si="25"/>
        <v>#N/A</v>
      </c>
      <c r="AA13" s="7">
        <f t="shared" si="26"/>
        <v>0.8912844641</v>
      </c>
      <c r="AB13" s="7" t="str">
        <f t="shared" si="27"/>
        <v>#N/A</v>
      </c>
    </row>
    <row r="14" ht="15.75" customHeight="1">
      <c r="A14" s="25">
        <f t="shared" si="1"/>
        <v>0.4570872006</v>
      </c>
      <c r="B14" s="25">
        <f t="shared" si="2"/>
        <v>45</v>
      </c>
      <c r="C14" s="25">
        <f t="shared" si="3"/>
        <v>0.9167621448</v>
      </c>
      <c r="D14" s="25">
        <f t="shared" si="4"/>
        <v>14</v>
      </c>
      <c r="E14" s="7">
        <f t="shared" si="5"/>
        <v>0.620043223</v>
      </c>
      <c r="F14" s="7">
        <f t="shared" si="14"/>
        <v>7</v>
      </c>
      <c r="G14" s="7">
        <f t="shared" si="6"/>
        <v>0.8261983083</v>
      </c>
      <c r="H14" s="7">
        <f t="shared" si="7"/>
        <v>9</v>
      </c>
      <c r="I14" s="7">
        <f t="shared" si="8"/>
        <v>0.5565002339</v>
      </c>
      <c r="J14" s="7">
        <f t="shared" si="9"/>
        <v>21</v>
      </c>
      <c r="K14" s="7">
        <f t="shared" si="10"/>
        <v>0.446311043</v>
      </c>
      <c r="L14" s="7">
        <f t="shared" si="11"/>
        <v>65</v>
      </c>
      <c r="M14" s="7">
        <f t="shared" si="12"/>
        <v>0.1272497013</v>
      </c>
      <c r="N14" s="7">
        <f t="shared" si="13"/>
        <v>93</v>
      </c>
      <c r="O14" s="7">
        <f t="shared" si="15"/>
        <v>0.7244949017</v>
      </c>
      <c r="P14" s="7" t="str">
        <f t="shared" si="16"/>
        <v>#N/A</v>
      </c>
      <c r="Q14" s="7">
        <f t="shared" si="17"/>
        <v>0.03146977313</v>
      </c>
      <c r="R14" s="7" t="str">
        <f t="shared" si="18"/>
        <v>#N/A</v>
      </c>
      <c r="S14" s="7">
        <f t="shared" si="19"/>
        <v>0.1032148267</v>
      </c>
      <c r="T14" s="7" t="str">
        <f t="shared" si="28"/>
        <v>#N/A</v>
      </c>
      <c r="U14" s="7">
        <f t="shared" si="20"/>
        <v>0.4119619901</v>
      </c>
      <c r="V14" s="7" t="str">
        <f t="shared" si="21"/>
        <v>#N/A</v>
      </c>
      <c r="W14" s="7">
        <f t="shared" si="22"/>
        <v>0.01738360987</v>
      </c>
      <c r="X14" s="7" t="str">
        <f t="shared" si="23"/>
        <v>#N/A</v>
      </c>
      <c r="Y14" s="7">
        <f t="shared" si="24"/>
        <v>0.03364819806</v>
      </c>
      <c r="Z14" s="7" t="str">
        <f t="shared" si="25"/>
        <v>#N/A</v>
      </c>
      <c r="AA14" s="7">
        <f t="shared" si="26"/>
        <v>0.4338879545</v>
      </c>
      <c r="AB14" s="7" t="str">
        <f t="shared" si="27"/>
        <v>#N/A</v>
      </c>
    </row>
    <row r="15" ht="15.75" customHeight="1">
      <c r="A15" s="25">
        <f t="shared" si="1"/>
        <v>0.4948407989</v>
      </c>
      <c r="B15" s="25">
        <f t="shared" si="2"/>
        <v>42</v>
      </c>
      <c r="C15" s="25">
        <f t="shared" si="3"/>
        <v>0.4082849071</v>
      </c>
      <c r="D15" s="25">
        <f t="shared" si="4"/>
        <v>96</v>
      </c>
      <c r="E15" s="7">
        <f t="shared" si="5"/>
        <v>0.7278753369</v>
      </c>
      <c r="F15" s="7">
        <f t="shared" si="14"/>
        <v>6</v>
      </c>
      <c r="G15" s="7">
        <f t="shared" si="6"/>
        <v>0.2730626251</v>
      </c>
      <c r="H15" s="7">
        <f t="shared" si="7"/>
        <v>29</v>
      </c>
      <c r="I15" s="7">
        <f t="shared" si="8"/>
        <v>0.6301059955</v>
      </c>
      <c r="J15" s="7">
        <f t="shared" si="9"/>
        <v>17</v>
      </c>
      <c r="K15" s="7">
        <f t="shared" si="10"/>
        <v>0.992950549</v>
      </c>
      <c r="L15" s="7">
        <f t="shared" si="11"/>
        <v>3</v>
      </c>
      <c r="M15" s="7">
        <f t="shared" si="12"/>
        <v>0.8095989466</v>
      </c>
      <c r="N15" s="7">
        <f t="shared" si="13"/>
        <v>24</v>
      </c>
      <c r="O15" s="7">
        <f t="shared" si="15"/>
        <v>0.572617659</v>
      </c>
      <c r="P15" s="7" t="str">
        <f t="shared" si="16"/>
        <v>#N/A</v>
      </c>
      <c r="Q15" s="7">
        <f t="shared" si="17"/>
        <v>0.6979258344</v>
      </c>
      <c r="R15" s="7" t="str">
        <f t="shared" si="18"/>
        <v>#N/A</v>
      </c>
      <c r="S15" s="7">
        <f t="shared" si="19"/>
        <v>0.2882236808</v>
      </c>
      <c r="T15" s="7" t="str">
        <f t="shared" si="28"/>
        <v>#N/A</v>
      </c>
      <c r="U15" s="7">
        <f t="shared" si="20"/>
        <v>0.9505699148</v>
      </c>
      <c r="V15" s="7" t="str">
        <f t="shared" si="21"/>
        <v>#N/A</v>
      </c>
      <c r="W15" s="7">
        <f t="shared" si="22"/>
        <v>0.589625877</v>
      </c>
      <c r="X15" s="7" t="str">
        <f t="shared" si="23"/>
        <v>#N/A</v>
      </c>
      <c r="Y15" s="7">
        <f t="shared" si="24"/>
        <v>0.3639698068</v>
      </c>
      <c r="Z15" s="7" t="str">
        <f t="shared" si="25"/>
        <v>#N/A</v>
      </c>
      <c r="AA15" s="7">
        <f t="shared" si="26"/>
        <v>0.4199282674</v>
      </c>
      <c r="AB15" s="7" t="str">
        <f t="shared" si="27"/>
        <v>#N/A</v>
      </c>
    </row>
    <row r="16" ht="15.75" customHeight="1">
      <c r="A16" s="25">
        <f t="shared" si="1"/>
        <v>0.927931348</v>
      </c>
      <c r="B16" s="25">
        <f t="shared" si="2"/>
        <v>3</v>
      </c>
      <c r="C16" s="25">
        <f t="shared" si="3"/>
        <v>0.09459896237</v>
      </c>
      <c r="D16" s="25">
        <f t="shared" si="4"/>
        <v>142</v>
      </c>
      <c r="E16" s="7">
        <f t="shared" si="5"/>
        <v>0.1325902885</v>
      </c>
      <c r="F16" s="7">
        <f t="shared" si="14"/>
        <v>16</v>
      </c>
      <c r="G16" s="7">
        <f t="shared" si="6"/>
        <v>0.8452307197</v>
      </c>
      <c r="H16" s="7">
        <f t="shared" si="7"/>
        <v>7</v>
      </c>
      <c r="I16" s="7">
        <f t="shared" si="8"/>
        <v>0.4856182647</v>
      </c>
      <c r="J16" s="7">
        <f t="shared" si="9"/>
        <v>29</v>
      </c>
      <c r="K16" s="7">
        <f t="shared" si="10"/>
        <v>0.6896099276</v>
      </c>
      <c r="L16" s="7">
        <f t="shared" si="11"/>
        <v>35</v>
      </c>
      <c r="M16" s="7">
        <f t="shared" si="12"/>
        <v>0.6825968719</v>
      </c>
      <c r="N16" s="7">
        <f t="shared" si="13"/>
        <v>43</v>
      </c>
      <c r="O16" s="7">
        <f t="shared" si="15"/>
        <v>0.5007509207</v>
      </c>
      <c r="P16" s="7" t="str">
        <f t="shared" si="16"/>
        <v>#N/A</v>
      </c>
      <c r="Q16" s="7">
        <f t="shared" si="17"/>
        <v>0.3473651226</v>
      </c>
      <c r="R16" s="7" t="str">
        <f t="shared" si="18"/>
        <v>#N/A</v>
      </c>
      <c r="S16" s="7">
        <f t="shared" si="19"/>
        <v>0.7854458255</v>
      </c>
      <c r="T16" s="7" t="str">
        <f t="shared" si="28"/>
        <v>#N/A</v>
      </c>
      <c r="U16" s="7">
        <f t="shared" si="20"/>
        <v>0.6408769761</v>
      </c>
      <c r="V16" s="7" t="str">
        <f t="shared" si="21"/>
        <v>#N/A</v>
      </c>
      <c r="W16" s="7">
        <f t="shared" si="22"/>
        <v>0.621967598</v>
      </c>
      <c r="X16" s="7" t="str">
        <f t="shared" si="23"/>
        <v>#N/A</v>
      </c>
      <c r="Y16" s="7">
        <f t="shared" si="24"/>
        <v>0.4409045671</v>
      </c>
      <c r="Z16" s="7" t="str">
        <f t="shared" si="25"/>
        <v>#N/A</v>
      </c>
      <c r="AA16" s="7">
        <f t="shared" si="26"/>
        <v>0.3680481266</v>
      </c>
      <c r="AB16" s="7" t="str">
        <f t="shared" si="27"/>
        <v>#N/A</v>
      </c>
    </row>
    <row r="17" ht="15.75" customHeight="1">
      <c r="A17" s="25">
        <f t="shared" si="1"/>
        <v>0.6601262021</v>
      </c>
      <c r="B17" s="25">
        <f t="shared" si="2"/>
        <v>25</v>
      </c>
      <c r="C17" s="25">
        <f t="shared" si="3"/>
        <v>0.8307269962</v>
      </c>
      <c r="D17" s="25">
        <f t="shared" si="4"/>
        <v>30</v>
      </c>
      <c r="E17" s="7">
        <f t="shared" si="5"/>
        <v>0.260495146</v>
      </c>
      <c r="F17" s="7">
        <f t="shared" si="14"/>
        <v>14</v>
      </c>
      <c r="G17" s="7">
        <f t="shared" si="6"/>
        <v>0.4457323403</v>
      </c>
      <c r="H17" s="7">
        <f t="shared" si="7"/>
        <v>25</v>
      </c>
      <c r="I17" s="7">
        <f t="shared" si="8"/>
        <v>0.6043865751</v>
      </c>
      <c r="J17" s="7">
        <f t="shared" si="9"/>
        <v>18</v>
      </c>
      <c r="K17" s="7">
        <f t="shared" si="10"/>
        <v>0.1005429063</v>
      </c>
      <c r="L17" s="7">
        <f t="shared" si="11"/>
        <v>108</v>
      </c>
      <c r="M17" s="7">
        <f t="shared" si="12"/>
        <v>0.7873320588</v>
      </c>
      <c r="N17" s="7">
        <f t="shared" si="13"/>
        <v>29</v>
      </c>
      <c r="O17" s="7">
        <f t="shared" si="15"/>
        <v>0.4853583806</v>
      </c>
      <c r="P17" s="7" t="str">
        <f t="shared" si="16"/>
        <v>#N/A</v>
      </c>
      <c r="Q17" s="7">
        <f t="shared" si="17"/>
        <v>0.6318543004</v>
      </c>
      <c r="R17" s="7" t="str">
        <f t="shared" si="18"/>
        <v>#N/A</v>
      </c>
      <c r="S17" s="7">
        <f t="shared" si="19"/>
        <v>0.1579055522</v>
      </c>
      <c r="T17" s="7" t="str">
        <f t="shared" si="28"/>
        <v>#N/A</v>
      </c>
      <c r="U17" s="7">
        <f t="shared" si="20"/>
        <v>0.9847001613</v>
      </c>
      <c r="V17" s="7" t="str">
        <f t="shared" si="21"/>
        <v>#N/A</v>
      </c>
      <c r="W17" s="7">
        <f t="shared" si="22"/>
        <v>0.3705423414</v>
      </c>
      <c r="X17" s="7" t="str">
        <f t="shared" si="23"/>
        <v>#N/A</v>
      </c>
      <c r="Y17" s="7">
        <f t="shared" si="24"/>
        <v>0.8188985563</v>
      </c>
      <c r="Z17" s="7" t="str">
        <f t="shared" si="25"/>
        <v>#N/A</v>
      </c>
      <c r="AA17" s="7">
        <f t="shared" si="26"/>
        <v>0.3085973825</v>
      </c>
      <c r="AB17" s="7" t="str">
        <f t="shared" si="27"/>
        <v>#N/A</v>
      </c>
    </row>
    <row r="18" ht="15.75" customHeight="1">
      <c r="A18" s="25">
        <f t="shared" si="1"/>
        <v>0.8507811555</v>
      </c>
      <c r="B18" s="25">
        <f t="shared" si="2"/>
        <v>10</v>
      </c>
      <c r="C18" s="25">
        <f t="shared" si="3"/>
        <v>0.8339244757</v>
      </c>
      <c r="D18" s="25">
        <f t="shared" si="4"/>
        <v>29</v>
      </c>
      <c r="E18" s="7">
        <f t="shared" si="5"/>
        <v>0.4292122474</v>
      </c>
      <c r="F18" s="7">
        <f t="shared" si="14"/>
        <v>11</v>
      </c>
      <c r="G18" s="7">
        <f t="shared" si="6"/>
        <v>0.7056882495</v>
      </c>
      <c r="H18" s="7">
        <f t="shared" si="7"/>
        <v>15</v>
      </c>
      <c r="I18" s="7">
        <f t="shared" si="8"/>
        <v>0.07860453039</v>
      </c>
      <c r="J18" s="7">
        <f t="shared" si="9"/>
        <v>53</v>
      </c>
      <c r="K18" s="7">
        <f t="shared" si="10"/>
        <v>0.8822838695</v>
      </c>
      <c r="L18" s="7">
        <f t="shared" si="11"/>
        <v>17</v>
      </c>
      <c r="M18" s="7">
        <f t="shared" si="12"/>
        <v>0.5336278211</v>
      </c>
      <c r="N18" s="7">
        <f t="shared" si="13"/>
        <v>53</v>
      </c>
      <c r="O18" s="7">
        <f t="shared" si="15"/>
        <v>0.02915524305</v>
      </c>
      <c r="P18" s="7" t="str">
        <f t="shared" si="16"/>
        <v>#N/A</v>
      </c>
      <c r="Q18" s="7">
        <f t="shared" si="17"/>
        <v>0.8266920136</v>
      </c>
      <c r="R18" s="7" t="str">
        <f t="shared" si="18"/>
        <v>#N/A</v>
      </c>
      <c r="S18" s="7">
        <f t="shared" si="19"/>
        <v>0.6818947757</v>
      </c>
      <c r="T18" s="7" t="str">
        <f t="shared" si="28"/>
        <v>#N/A</v>
      </c>
      <c r="U18" s="7">
        <f t="shared" si="20"/>
        <v>0.4162067982</v>
      </c>
      <c r="V18" s="7" t="str">
        <f t="shared" si="21"/>
        <v>#N/A</v>
      </c>
      <c r="W18" s="7">
        <f t="shared" si="22"/>
        <v>0.9771548047</v>
      </c>
      <c r="X18" s="7" t="str">
        <f t="shared" si="23"/>
        <v>#N/A</v>
      </c>
      <c r="Y18" s="7">
        <f t="shared" si="24"/>
        <v>0.4315488533</v>
      </c>
      <c r="Z18" s="7" t="str">
        <f t="shared" si="25"/>
        <v>#N/A</v>
      </c>
      <c r="AA18" s="7">
        <f t="shared" si="26"/>
        <v>0.7389316848</v>
      </c>
      <c r="AB18" s="7" t="str">
        <f t="shared" si="27"/>
        <v>#N/A</v>
      </c>
    </row>
    <row r="19" ht="15.75" customHeight="1">
      <c r="A19" s="25">
        <f t="shared" si="1"/>
        <v>0.8205811384</v>
      </c>
      <c r="B19" s="25">
        <f t="shared" si="2"/>
        <v>13</v>
      </c>
      <c r="C19" s="25">
        <f t="shared" si="3"/>
        <v>0.2042985025</v>
      </c>
      <c r="D19" s="25">
        <f t="shared" si="4"/>
        <v>130</v>
      </c>
      <c r="E19" s="7">
        <f t="shared" si="5"/>
        <v>0.9987235092</v>
      </c>
      <c r="F19" s="7">
        <f t="shared" si="14"/>
        <v>1</v>
      </c>
      <c r="G19" s="7">
        <f t="shared" si="6"/>
        <v>0.05562532041</v>
      </c>
      <c r="H19" s="7">
        <f t="shared" si="7"/>
        <v>39</v>
      </c>
      <c r="I19" s="7">
        <f t="shared" si="8"/>
        <v>0.9068206111</v>
      </c>
      <c r="J19" s="7">
        <f t="shared" si="9"/>
        <v>1</v>
      </c>
      <c r="K19" s="7">
        <f t="shared" si="10"/>
        <v>0.4064381736</v>
      </c>
      <c r="L19" s="7">
        <f t="shared" si="11"/>
        <v>68</v>
      </c>
      <c r="M19" s="7">
        <f t="shared" si="12"/>
        <v>0.7402292215</v>
      </c>
      <c r="N19" s="7">
        <f t="shared" si="13"/>
        <v>37</v>
      </c>
      <c r="O19" s="7">
        <f t="shared" si="15"/>
        <v>0.9560340507</v>
      </c>
      <c r="P19" s="7" t="str">
        <f t="shared" si="16"/>
        <v>#N/A</v>
      </c>
      <c r="Q19" s="7">
        <f t="shared" si="17"/>
        <v>0.2712235436</v>
      </c>
      <c r="R19" s="7" t="str">
        <f t="shared" si="18"/>
        <v>#N/A</v>
      </c>
      <c r="S19" s="7">
        <f t="shared" si="19"/>
        <v>0.8834240969</v>
      </c>
      <c r="T19" s="7" t="str">
        <f t="shared" si="28"/>
        <v>#N/A</v>
      </c>
      <c r="U19" s="7">
        <f t="shared" si="20"/>
        <v>0.8714279645</v>
      </c>
      <c r="V19" s="7" t="str">
        <f t="shared" si="21"/>
        <v>#N/A</v>
      </c>
      <c r="W19" s="7">
        <f t="shared" si="22"/>
        <v>0.1681501945</v>
      </c>
      <c r="X19" s="7" t="str">
        <f t="shared" si="23"/>
        <v>#N/A</v>
      </c>
      <c r="Y19" s="7">
        <f t="shared" si="24"/>
        <v>0.7395560759</v>
      </c>
      <c r="Z19" s="7" t="str">
        <f t="shared" si="25"/>
        <v>#N/A</v>
      </c>
      <c r="AA19" s="7">
        <f t="shared" si="26"/>
        <v>0.2210365454</v>
      </c>
      <c r="AB19" s="7" t="str">
        <f t="shared" si="27"/>
        <v>#N/A</v>
      </c>
    </row>
    <row r="20" ht="15.75" customHeight="1">
      <c r="A20" s="25">
        <f t="shared" si="1"/>
        <v>0.2031275132</v>
      </c>
      <c r="B20" s="25">
        <f t="shared" si="2"/>
        <v>64</v>
      </c>
      <c r="C20" s="25">
        <f t="shared" si="3"/>
        <v>0.7505036138</v>
      </c>
      <c r="D20" s="25">
        <f t="shared" si="4"/>
        <v>43</v>
      </c>
      <c r="E20" s="7">
        <f t="shared" si="5"/>
        <v>0.3271583171</v>
      </c>
      <c r="F20" s="7">
        <f t="shared" si="14"/>
        <v>13</v>
      </c>
      <c r="G20" s="7">
        <f t="shared" si="6"/>
        <v>0.5526791114</v>
      </c>
      <c r="H20" s="7">
        <f t="shared" si="7"/>
        <v>20</v>
      </c>
      <c r="I20" s="7">
        <f t="shared" si="8"/>
        <v>0.3139782904</v>
      </c>
      <c r="J20" s="7">
        <f t="shared" si="9"/>
        <v>38</v>
      </c>
      <c r="K20" s="7">
        <f t="shared" si="10"/>
        <v>0.5789632724</v>
      </c>
      <c r="L20" s="7">
        <f t="shared" si="11"/>
        <v>50</v>
      </c>
      <c r="M20" s="7">
        <f t="shared" si="12"/>
        <v>0.2266843363</v>
      </c>
      <c r="N20" s="7">
        <f t="shared" si="13"/>
        <v>87</v>
      </c>
      <c r="O20" s="7">
        <f t="shared" si="15"/>
        <v>0.9012144964</v>
      </c>
      <c r="P20" s="7" t="str">
        <f t="shared" si="16"/>
        <v>#N/A</v>
      </c>
      <c r="Q20" s="7">
        <f t="shared" si="17"/>
        <v>0.8171067711</v>
      </c>
      <c r="R20" s="7" t="str">
        <f t="shared" si="18"/>
        <v>#N/A</v>
      </c>
      <c r="S20" s="7">
        <f t="shared" si="19"/>
        <v>0.1427389897</v>
      </c>
      <c r="T20" s="7" t="str">
        <f t="shared" si="28"/>
        <v>#N/A</v>
      </c>
      <c r="U20" s="7">
        <f t="shared" si="20"/>
        <v>0.3886508831</v>
      </c>
      <c r="V20" s="7" t="str">
        <f t="shared" si="21"/>
        <v>#N/A</v>
      </c>
      <c r="W20" s="7">
        <f t="shared" si="22"/>
        <v>0.4106227305</v>
      </c>
      <c r="X20" s="7" t="str">
        <f t="shared" si="23"/>
        <v>#N/A</v>
      </c>
      <c r="Y20" s="7">
        <f t="shared" si="24"/>
        <v>0.4529514952</v>
      </c>
      <c r="Z20" s="7" t="str">
        <f t="shared" si="25"/>
        <v>#N/A</v>
      </c>
      <c r="AA20" s="7">
        <f t="shared" si="26"/>
        <v>0.1758019369</v>
      </c>
      <c r="AB20" s="7" t="str">
        <f t="shared" si="27"/>
        <v>#N/A</v>
      </c>
    </row>
    <row r="21" ht="15.75" customHeight="1">
      <c r="A21" s="25">
        <f t="shared" si="1"/>
        <v>0.2786416477</v>
      </c>
      <c r="B21" s="25">
        <f t="shared" si="2"/>
        <v>59</v>
      </c>
      <c r="C21" s="25">
        <f t="shared" si="3"/>
        <v>0.2836388275</v>
      </c>
      <c r="D21" s="25">
        <f t="shared" si="4"/>
        <v>118</v>
      </c>
      <c r="G21" s="7">
        <f t="shared" si="6"/>
        <v>0.820909659</v>
      </c>
      <c r="H21" s="7">
        <f t="shared" si="7"/>
        <v>10</v>
      </c>
      <c r="I21" s="7">
        <f t="shared" si="8"/>
        <v>0.3346291509</v>
      </c>
      <c r="J21" s="7">
        <f t="shared" si="9"/>
        <v>37</v>
      </c>
      <c r="K21" s="7">
        <f t="shared" si="10"/>
        <v>0.2774536785</v>
      </c>
      <c r="L21" s="7">
        <f t="shared" si="11"/>
        <v>84</v>
      </c>
      <c r="M21" s="7">
        <f t="shared" si="12"/>
        <v>0.2961564882</v>
      </c>
      <c r="N21" s="7">
        <f t="shared" si="13"/>
        <v>72</v>
      </c>
      <c r="O21" s="7">
        <f t="shared" si="15"/>
        <v>0.5323468732</v>
      </c>
      <c r="P21" s="7" t="str">
        <f t="shared" si="16"/>
        <v>#N/A</v>
      </c>
      <c r="Q21" s="7">
        <f t="shared" si="17"/>
        <v>0.1552535518</v>
      </c>
      <c r="R21" s="7" t="str">
        <f t="shared" si="18"/>
        <v>#N/A</v>
      </c>
      <c r="S21" s="7">
        <f t="shared" si="19"/>
        <v>0.3693690186</v>
      </c>
      <c r="T21" s="7" t="str">
        <f t="shared" si="28"/>
        <v>#N/A</v>
      </c>
      <c r="U21" s="7">
        <f t="shared" si="20"/>
        <v>0.6941093653</v>
      </c>
      <c r="V21" s="7" t="str">
        <f t="shared" si="21"/>
        <v>#N/A</v>
      </c>
      <c r="W21" s="7">
        <f t="shared" si="22"/>
        <v>0.08573917093</v>
      </c>
      <c r="X21" s="7" t="str">
        <f t="shared" si="23"/>
        <v>#N/A</v>
      </c>
      <c r="Y21" s="7">
        <f t="shared" si="24"/>
        <v>0.9200034146</v>
      </c>
      <c r="Z21" s="7" t="str">
        <f t="shared" si="25"/>
        <v>#N/A</v>
      </c>
      <c r="AA21" s="7">
        <f t="shared" si="26"/>
        <v>0.4911311137</v>
      </c>
      <c r="AB21" s="7" t="str">
        <f t="shared" si="27"/>
        <v>#N/A</v>
      </c>
    </row>
    <row r="22" ht="15.75" customHeight="1">
      <c r="A22" s="25">
        <f t="shared" si="1"/>
        <v>0.5522163747</v>
      </c>
      <c r="B22" s="25">
        <f t="shared" si="2"/>
        <v>36</v>
      </c>
      <c r="C22" s="25">
        <f t="shared" si="3"/>
        <v>0.5091869116</v>
      </c>
      <c r="D22" s="25">
        <f t="shared" si="4"/>
        <v>82</v>
      </c>
      <c r="G22" s="7">
        <f t="shared" si="6"/>
        <v>0.8897847446</v>
      </c>
      <c r="H22" s="7">
        <f t="shared" si="7"/>
        <v>3</v>
      </c>
      <c r="I22" s="7">
        <f t="shared" si="8"/>
        <v>0.1717270289</v>
      </c>
      <c r="J22" s="7">
        <f t="shared" si="9"/>
        <v>47</v>
      </c>
      <c r="K22" s="7">
        <f t="shared" si="10"/>
        <v>0.391356862</v>
      </c>
      <c r="L22" s="7">
        <f t="shared" si="11"/>
        <v>71</v>
      </c>
      <c r="M22" s="7">
        <f t="shared" si="12"/>
        <v>0.0785901942</v>
      </c>
      <c r="N22" s="7">
        <f t="shared" si="13"/>
        <v>97</v>
      </c>
      <c r="O22" s="7">
        <f t="shared" si="15"/>
        <v>0.1537427887</v>
      </c>
      <c r="P22" s="7" t="str">
        <f t="shared" si="16"/>
        <v>#N/A</v>
      </c>
      <c r="Q22" s="7">
        <f t="shared" si="17"/>
        <v>0.7671467162</v>
      </c>
      <c r="R22" s="7" t="str">
        <f t="shared" si="18"/>
        <v>#N/A</v>
      </c>
      <c r="U22" s="7">
        <f t="shared" si="20"/>
        <v>0.1206401676</v>
      </c>
      <c r="V22" s="7" t="str">
        <f t="shared" si="21"/>
        <v>#N/A</v>
      </c>
      <c r="W22" s="7">
        <f t="shared" si="22"/>
        <v>0.1097468495</v>
      </c>
      <c r="X22" s="7" t="str">
        <f t="shared" si="23"/>
        <v>#N/A</v>
      </c>
      <c r="Y22" s="7">
        <f t="shared" si="24"/>
        <v>0.9215045496</v>
      </c>
      <c r="Z22" s="7" t="str">
        <f t="shared" si="25"/>
        <v>#N/A</v>
      </c>
      <c r="AA22" s="7">
        <f t="shared" si="26"/>
        <v>0.5088396814</v>
      </c>
      <c r="AB22" s="7" t="str">
        <f t="shared" si="27"/>
        <v>#N/A</v>
      </c>
    </row>
    <row r="23" ht="15.75" customHeight="1">
      <c r="A23" s="25">
        <f t="shared" si="1"/>
        <v>0.7012097837</v>
      </c>
      <c r="B23" s="25">
        <f t="shared" si="2"/>
        <v>22</v>
      </c>
      <c r="C23" s="25">
        <f t="shared" si="3"/>
        <v>0.7885845451</v>
      </c>
      <c r="D23" s="25">
        <f t="shared" si="4"/>
        <v>38</v>
      </c>
      <c r="G23" s="7">
        <f t="shared" si="6"/>
        <v>0.7199009102</v>
      </c>
      <c r="H23" s="7">
        <f t="shared" si="7"/>
        <v>14</v>
      </c>
      <c r="I23" s="7">
        <f t="shared" si="8"/>
        <v>0.2689337096</v>
      </c>
      <c r="J23" s="7">
        <f t="shared" si="9"/>
        <v>42</v>
      </c>
      <c r="K23" s="7">
        <f t="shared" si="10"/>
        <v>0.7914513101</v>
      </c>
      <c r="L23" s="7">
        <f t="shared" si="11"/>
        <v>23</v>
      </c>
      <c r="M23" s="7">
        <f t="shared" si="12"/>
        <v>0.9911245949</v>
      </c>
      <c r="N23" s="7">
        <f t="shared" si="13"/>
        <v>1</v>
      </c>
      <c r="O23" s="7">
        <f t="shared" si="15"/>
        <v>0.2645231829</v>
      </c>
      <c r="P23" s="7" t="str">
        <f t="shared" si="16"/>
        <v>#N/A</v>
      </c>
      <c r="Q23" s="7">
        <f t="shared" si="17"/>
        <v>0.8197167778</v>
      </c>
      <c r="R23" s="7" t="str">
        <f t="shared" si="18"/>
        <v>#N/A</v>
      </c>
      <c r="U23" s="7">
        <f t="shared" si="20"/>
        <v>0.6227793753</v>
      </c>
      <c r="V23" s="7" t="str">
        <f t="shared" si="21"/>
        <v>#N/A</v>
      </c>
      <c r="W23" s="7">
        <f t="shared" si="22"/>
        <v>0.1586169505</v>
      </c>
      <c r="X23" s="7" t="str">
        <f t="shared" si="23"/>
        <v>#N/A</v>
      </c>
      <c r="Y23" s="7">
        <f t="shared" si="24"/>
        <v>0.0580460728</v>
      </c>
      <c r="Z23" s="7" t="str">
        <f t="shared" si="25"/>
        <v>#N/A</v>
      </c>
      <c r="AA23" s="7">
        <f t="shared" si="26"/>
        <v>0.5682507402</v>
      </c>
      <c r="AB23" s="7" t="str">
        <f t="shared" si="27"/>
        <v>#N/A</v>
      </c>
    </row>
    <row r="24" ht="15.75" customHeight="1">
      <c r="A24" s="25">
        <f t="shared" si="1"/>
        <v>0.2774084076</v>
      </c>
      <c r="B24" s="25">
        <f t="shared" si="2"/>
        <v>60</v>
      </c>
      <c r="C24" s="25">
        <f t="shared" si="3"/>
        <v>0.3947283814</v>
      </c>
      <c r="D24" s="25">
        <f t="shared" si="4"/>
        <v>97</v>
      </c>
      <c r="G24" s="7">
        <f t="shared" si="6"/>
        <v>0.5044134121</v>
      </c>
      <c r="H24" s="7">
        <f t="shared" si="7"/>
        <v>24</v>
      </c>
      <c r="I24" s="7">
        <f t="shared" si="8"/>
        <v>0.64706585</v>
      </c>
      <c r="J24" s="7">
        <f t="shared" si="9"/>
        <v>15</v>
      </c>
      <c r="K24" s="7">
        <f t="shared" si="10"/>
        <v>0.992171361</v>
      </c>
      <c r="L24" s="7">
        <f t="shared" si="11"/>
        <v>4</v>
      </c>
      <c r="M24" s="7">
        <f t="shared" si="12"/>
        <v>0.2780733047</v>
      </c>
      <c r="N24" s="7">
        <f t="shared" si="13"/>
        <v>73</v>
      </c>
      <c r="O24" s="7">
        <f t="shared" si="15"/>
        <v>0.5967359763</v>
      </c>
      <c r="P24" s="7" t="str">
        <f t="shared" si="16"/>
        <v>#N/A</v>
      </c>
      <c r="Q24" s="7">
        <f t="shared" si="17"/>
        <v>0.4992380319</v>
      </c>
      <c r="R24" s="7" t="str">
        <f t="shared" si="18"/>
        <v>#N/A</v>
      </c>
      <c r="U24" s="7">
        <f t="shared" si="20"/>
        <v>0.3860931466</v>
      </c>
      <c r="V24" s="7" t="str">
        <f t="shared" si="21"/>
        <v>#N/A</v>
      </c>
      <c r="W24" s="7">
        <f t="shared" si="22"/>
        <v>0.5422267198</v>
      </c>
      <c r="X24" s="7" t="str">
        <f t="shared" si="23"/>
        <v>#N/A</v>
      </c>
      <c r="Y24" s="7">
        <f t="shared" si="24"/>
        <v>0.06593742494</v>
      </c>
      <c r="Z24" s="7" t="str">
        <f t="shared" si="25"/>
        <v>#N/A</v>
      </c>
      <c r="AA24" s="7">
        <f t="shared" si="26"/>
        <v>0.6805881586</v>
      </c>
      <c r="AB24" s="7" t="str">
        <f t="shared" si="27"/>
        <v>#N/A</v>
      </c>
    </row>
    <row r="25" ht="15.75" customHeight="1">
      <c r="A25" s="25">
        <f t="shared" si="1"/>
        <v>0.5423456125</v>
      </c>
      <c r="B25" s="25">
        <f t="shared" si="2"/>
        <v>38</v>
      </c>
      <c r="C25" s="25">
        <f t="shared" si="3"/>
        <v>0.2172513448</v>
      </c>
      <c r="D25" s="25">
        <f t="shared" si="4"/>
        <v>127</v>
      </c>
      <c r="G25" s="7">
        <f t="shared" si="6"/>
        <v>0.07999658636</v>
      </c>
      <c r="H25" s="7">
        <f t="shared" si="7"/>
        <v>38</v>
      </c>
      <c r="I25" s="7">
        <f t="shared" si="8"/>
        <v>0.2404332672</v>
      </c>
      <c r="J25" s="7">
        <f t="shared" si="9"/>
        <v>45</v>
      </c>
      <c r="K25" s="7">
        <f t="shared" si="10"/>
        <v>0.8918040425</v>
      </c>
      <c r="L25" s="7">
        <f t="shared" si="11"/>
        <v>14</v>
      </c>
      <c r="M25" s="7">
        <f t="shared" si="12"/>
        <v>0.8933146654</v>
      </c>
      <c r="N25" s="7">
        <f t="shared" si="13"/>
        <v>13</v>
      </c>
      <c r="O25" s="7">
        <f t="shared" si="15"/>
        <v>0.5276410852</v>
      </c>
      <c r="P25" s="7" t="str">
        <f t="shared" si="16"/>
        <v>#N/A</v>
      </c>
      <c r="Q25" s="7">
        <f t="shared" si="17"/>
        <v>0.6502211497</v>
      </c>
      <c r="R25" s="7" t="str">
        <f t="shared" si="18"/>
        <v>#N/A</v>
      </c>
      <c r="U25" s="7">
        <f t="shared" si="20"/>
        <v>0.8839086768</v>
      </c>
      <c r="V25" s="7" t="str">
        <f t="shared" si="21"/>
        <v>#N/A</v>
      </c>
      <c r="W25" s="7">
        <f t="shared" si="22"/>
        <v>0.4074564773</v>
      </c>
      <c r="X25" s="7" t="str">
        <f t="shared" si="23"/>
        <v>#N/A</v>
      </c>
      <c r="Y25" s="7">
        <f t="shared" si="24"/>
        <v>0.1128599162</v>
      </c>
      <c r="Z25" s="7" t="str">
        <f t="shared" si="25"/>
        <v>#N/A</v>
      </c>
      <c r="AA25" s="7">
        <f t="shared" si="26"/>
        <v>0.3678434783</v>
      </c>
      <c r="AB25" s="7" t="str">
        <f t="shared" si="27"/>
        <v>#N/A</v>
      </c>
    </row>
    <row r="26" ht="15.75" customHeight="1">
      <c r="A26" s="25">
        <f t="shared" si="1"/>
        <v>0.6125643607</v>
      </c>
      <c r="B26" s="25">
        <f t="shared" si="2"/>
        <v>29</v>
      </c>
      <c r="C26" s="25">
        <f t="shared" si="3"/>
        <v>0.4936232915</v>
      </c>
      <c r="D26" s="25">
        <f t="shared" si="4"/>
        <v>83</v>
      </c>
      <c r="G26" s="7">
        <f t="shared" si="6"/>
        <v>0.7336572405</v>
      </c>
      <c r="H26" s="7">
        <f t="shared" si="7"/>
        <v>13</v>
      </c>
      <c r="I26" s="7">
        <f t="shared" si="8"/>
        <v>0.4102320803</v>
      </c>
      <c r="J26" s="7">
        <f t="shared" si="9"/>
        <v>35</v>
      </c>
      <c r="K26" s="7">
        <f t="shared" si="10"/>
        <v>0.2118807571</v>
      </c>
      <c r="L26" s="7">
        <f t="shared" si="11"/>
        <v>94</v>
      </c>
      <c r="M26" s="7">
        <f t="shared" si="12"/>
        <v>0.9826247411</v>
      </c>
      <c r="N26" s="7">
        <f t="shared" si="13"/>
        <v>4</v>
      </c>
      <c r="O26" s="7">
        <f t="shared" si="15"/>
        <v>0.2127708386</v>
      </c>
      <c r="P26" s="7" t="str">
        <f t="shared" si="16"/>
        <v>#N/A</v>
      </c>
      <c r="Q26" s="7">
        <f t="shared" si="17"/>
        <v>0.3559614456</v>
      </c>
      <c r="R26" s="7" t="str">
        <f t="shared" si="18"/>
        <v>#N/A</v>
      </c>
      <c r="U26" s="7">
        <f t="shared" si="20"/>
        <v>0.04682972008</v>
      </c>
      <c r="V26" s="7" t="str">
        <f t="shared" si="21"/>
        <v>#N/A</v>
      </c>
      <c r="W26" s="7">
        <f t="shared" si="22"/>
        <v>0.1404224488</v>
      </c>
      <c r="X26" s="7" t="str">
        <f t="shared" si="23"/>
        <v>#N/A</v>
      </c>
      <c r="Y26" s="7">
        <f t="shared" si="24"/>
        <v>0.1035491431</v>
      </c>
      <c r="Z26" s="7" t="str">
        <f t="shared" si="25"/>
        <v>#N/A</v>
      </c>
      <c r="AA26" s="7">
        <f t="shared" si="26"/>
        <v>0.6589163287</v>
      </c>
      <c r="AB26" s="7" t="str">
        <f t="shared" si="27"/>
        <v>#N/A</v>
      </c>
    </row>
    <row r="27" ht="15.75" customHeight="1">
      <c r="A27" s="25">
        <f t="shared" si="1"/>
        <v>0.677874813</v>
      </c>
      <c r="B27" s="25">
        <f t="shared" si="2"/>
        <v>23</v>
      </c>
      <c r="C27" s="25">
        <f t="shared" si="3"/>
        <v>0.8717584602</v>
      </c>
      <c r="D27" s="25">
        <f t="shared" si="4"/>
        <v>21</v>
      </c>
      <c r="G27" s="7">
        <f t="shared" si="6"/>
        <v>0.9517878905</v>
      </c>
      <c r="H27" s="7">
        <f t="shared" si="7"/>
        <v>1</v>
      </c>
      <c r="I27" s="7">
        <f t="shared" si="8"/>
        <v>0.0217108483</v>
      </c>
      <c r="J27" s="7">
        <f t="shared" si="9"/>
        <v>59</v>
      </c>
      <c r="K27" s="7">
        <f t="shared" si="10"/>
        <v>0.8305042524</v>
      </c>
      <c r="L27" s="7">
        <f t="shared" si="11"/>
        <v>19</v>
      </c>
      <c r="M27" s="7">
        <f t="shared" si="12"/>
        <v>0.9099325201</v>
      </c>
      <c r="N27" s="7">
        <f t="shared" si="13"/>
        <v>11</v>
      </c>
      <c r="O27" s="7">
        <f t="shared" si="15"/>
        <v>0.550860069</v>
      </c>
      <c r="P27" s="7" t="str">
        <f t="shared" si="16"/>
        <v>#N/A</v>
      </c>
      <c r="Q27" s="7">
        <f t="shared" si="17"/>
        <v>0.06088582092</v>
      </c>
      <c r="R27" s="7" t="str">
        <f t="shared" si="18"/>
        <v>#N/A</v>
      </c>
      <c r="U27" s="7">
        <f t="shared" si="20"/>
        <v>0.6228272339</v>
      </c>
      <c r="V27" s="7" t="str">
        <f t="shared" si="21"/>
        <v>#N/A</v>
      </c>
      <c r="W27" s="7">
        <f t="shared" si="22"/>
        <v>0.520766189</v>
      </c>
      <c r="X27" s="7" t="str">
        <f t="shared" si="23"/>
        <v>#N/A</v>
      </c>
      <c r="Y27" s="7">
        <f t="shared" si="24"/>
        <v>0.5126752238</v>
      </c>
      <c r="Z27" s="7" t="str">
        <f t="shared" si="25"/>
        <v>#N/A</v>
      </c>
      <c r="AA27" s="7">
        <f t="shared" si="26"/>
        <v>0.3897887132</v>
      </c>
      <c r="AB27" s="7" t="str">
        <f t="shared" si="27"/>
        <v>#N/A</v>
      </c>
    </row>
    <row r="28" ht="15.75" customHeight="1">
      <c r="A28" s="25">
        <f t="shared" si="1"/>
        <v>0.03764435598</v>
      </c>
      <c r="B28" s="25">
        <f t="shared" si="2"/>
        <v>77</v>
      </c>
      <c r="C28" s="25">
        <f t="shared" si="3"/>
        <v>0.1618151499</v>
      </c>
      <c r="D28" s="25">
        <f t="shared" si="4"/>
        <v>134</v>
      </c>
      <c r="G28" s="7">
        <f t="shared" si="6"/>
        <v>0.321894351</v>
      </c>
      <c r="H28" s="7">
        <f t="shared" si="7"/>
        <v>27</v>
      </c>
      <c r="I28" s="7">
        <f t="shared" si="8"/>
        <v>0.5281832557</v>
      </c>
      <c r="J28" s="7">
        <f t="shared" si="9"/>
        <v>24</v>
      </c>
      <c r="K28" s="7">
        <f t="shared" si="10"/>
        <v>0.9593925094</v>
      </c>
      <c r="L28" s="7">
        <f t="shared" si="11"/>
        <v>6</v>
      </c>
      <c r="M28" s="7">
        <f t="shared" si="12"/>
        <v>0.7475389719</v>
      </c>
      <c r="N28" s="7">
        <f t="shared" si="13"/>
        <v>34</v>
      </c>
      <c r="O28" s="7">
        <f t="shared" si="15"/>
        <v>0.2944136769</v>
      </c>
      <c r="P28" s="7" t="str">
        <f t="shared" si="16"/>
        <v>#N/A</v>
      </c>
      <c r="Q28" s="7">
        <f t="shared" si="17"/>
        <v>0.3607613866</v>
      </c>
      <c r="R28" s="7" t="str">
        <f t="shared" si="18"/>
        <v>#N/A</v>
      </c>
      <c r="U28" s="7">
        <f t="shared" si="20"/>
        <v>0.1856027197</v>
      </c>
      <c r="V28" s="7" t="str">
        <f t="shared" si="21"/>
        <v>#N/A</v>
      </c>
      <c r="W28" s="7">
        <f t="shared" si="22"/>
        <v>0.9671721616</v>
      </c>
      <c r="X28" s="7" t="str">
        <f t="shared" si="23"/>
        <v>#N/A</v>
      </c>
      <c r="Y28" s="7">
        <f t="shared" si="24"/>
        <v>0.709517618</v>
      </c>
      <c r="Z28" s="7" t="str">
        <f t="shared" si="25"/>
        <v>#N/A</v>
      </c>
      <c r="AA28" s="7">
        <f t="shared" si="26"/>
        <v>0.4386555645</v>
      </c>
      <c r="AB28" s="7" t="str">
        <f t="shared" si="27"/>
        <v>#N/A</v>
      </c>
    </row>
    <row r="29" ht="15.75" customHeight="1">
      <c r="A29" s="25">
        <f t="shared" si="1"/>
        <v>0.03898366066</v>
      </c>
      <c r="B29" s="25">
        <f t="shared" si="2"/>
        <v>76</v>
      </c>
      <c r="C29" s="25">
        <f t="shared" si="3"/>
        <v>0.06863407917</v>
      </c>
      <c r="D29" s="25">
        <f t="shared" si="4"/>
        <v>151</v>
      </c>
      <c r="G29" s="7">
        <f t="shared" si="6"/>
        <v>0.8280721456</v>
      </c>
      <c r="H29" s="7">
        <f t="shared" si="7"/>
        <v>8</v>
      </c>
      <c r="I29" s="7">
        <f t="shared" si="8"/>
        <v>0.03704836481</v>
      </c>
      <c r="J29" s="7">
        <f t="shared" si="9"/>
        <v>58</v>
      </c>
      <c r="K29" s="7">
        <f t="shared" si="10"/>
        <v>0.6399422327</v>
      </c>
      <c r="L29" s="7">
        <f t="shared" si="11"/>
        <v>40</v>
      </c>
      <c r="M29" s="7">
        <f t="shared" si="12"/>
        <v>0.7011092952</v>
      </c>
      <c r="N29" s="7">
        <f t="shared" si="13"/>
        <v>42</v>
      </c>
      <c r="O29" s="7">
        <f t="shared" si="15"/>
        <v>0.3362676494</v>
      </c>
      <c r="P29" s="7" t="str">
        <f t="shared" si="16"/>
        <v>#N/A</v>
      </c>
      <c r="Q29" s="7">
        <f t="shared" si="17"/>
        <v>0.7590961948</v>
      </c>
      <c r="R29" s="7" t="str">
        <f t="shared" si="18"/>
        <v>#N/A</v>
      </c>
      <c r="U29" s="7">
        <f t="shared" si="20"/>
        <v>0.5135970066</v>
      </c>
      <c r="V29" s="7" t="str">
        <f t="shared" si="21"/>
        <v>#N/A</v>
      </c>
      <c r="W29" s="7">
        <f t="shared" si="22"/>
        <v>0.1451300073</v>
      </c>
      <c r="X29" s="7" t="str">
        <f t="shared" si="23"/>
        <v>#N/A</v>
      </c>
      <c r="Y29" s="7">
        <f t="shared" si="24"/>
        <v>0.1706586163</v>
      </c>
      <c r="Z29" s="7" t="str">
        <f t="shared" si="25"/>
        <v>#N/A</v>
      </c>
      <c r="AA29" s="7">
        <f t="shared" si="26"/>
        <v>0.3909168736</v>
      </c>
      <c r="AB29" s="7" t="str">
        <f t="shared" si="27"/>
        <v>#N/A</v>
      </c>
    </row>
    <row r="30" ht="15.75" customHeight="1">
      <c r="A30" s="25">
        <f t="shared" si="1"/>
        <v>0.06497920953</v>
      </c>
      <c r="B30" s="25">
        <f t="shared" si="2"/>
        <v>74</v>
      </c>
      <c r="C30" s="25">
        <f t="shared" si="3"/>
        <v>0.7608939224</v>
      </c>
      <c r="D30" s="25">
        <f t="shared" si="4"/>
        <v>40</v>
      </c>
      <c r="G30" s="7">
        <f t="shared" si="6"/>
        <v>0.5323015389</v>
      </c>
      <c r="H30" s="7">
        <f t="shared" si="7"/>
        <v>22</v>
      </c>
      <c r="I30" s="7">
        <f t="shared" si="8"/>
        <v>0.4394934364</v>
      </c>
      <c r="J30" s="7">
        <f t="shared" si="9"/>
        <v>32</v>
      </c>
      <c r="K30" s="7">
        <f t="shared" si="10"/>
        <v>0.6428821292</v>
      </c>
      <c r="L30" s="7">
        <f t="shared" si="11"/>
        <v>37</v>
      </c>
      <c r="M30" s="7">
        <f t="shared" si="12"/>
        <v>0.8266732002</v>
      </c>
      <c r="N30" s="7">
        <f t="shared" si="13"/>
        <v>22</v>
      </c>
      <c r="O30" s="7">
        <f t="shared" si="15"/>
        <v>0.2543161382</v>
      </c>
      <c r="P30" s="7" t="str">
        <f t="shared" si="16"/>
        <v>#N/A</v>
      </c>
      <c r="Q30" s="7">
        <f t="shared" si="17"/>
        <v>0.1242545924</v>
      </c>
      <c r="R30" s="7" t="str">
        <f t="shared" si="18"/>
        <v>#N/A</v>
      </c>
      <c r="U30" s="7">
        <f t="shared" si="20"/>
        <v>0.5218547631</v>
      </c>
      <c r="V30" s="7" t="str">
        <f t="shared" si="21"/>
        <v>#N/A</v>
      </c>
      <c r="W30" s="7">
        <f t="shared" si="22"/>
        <v>0.8804285604</v>
      </c>
      <c r="X30" s="7" t="str">
        <f t="shared" si="23"/>
        <v>#N/A</v>
      </c>
      <c r="Y30" s="7">
        <f t="shared" si="24"/>
        <v>0.8255374382</v>
      </c>
      <c r="Z30" s="7" t="str">
        <f t="shared" si="25"/>
        <v>#N/A</v>
      </c>
      <c r="AA30" s="7">
        <f t="shared" si="26"/>
        <v>0.4897792916</v>
      </c>
      <c r="AB30" s="7" t="str">
        <f t="shared" si="27"/>
        <v>#N/A</v>
      </c>
    </row>
    <row r="31" ht="15.75" customHeight="1">
      <c r="A31" s="25">
        <f t="shared" si="1"/>
        <v>0.8905800443</v>
      </c>
      <c r="B31" s="25">
        <f t="shared" si="2"/>
        <v>7</v>
      </c>
      <c r="C31" s="25">
        <f t="shared" si="3"/>
        <v>0.7225577571</v>
      </c>
      <c r="D31" s="25">
        <f t="shared" si="4"/>
        <v>47</v>
      </c>
      <c r="G31" s="7">
        <f t="shared" si="6"/>
        <v>0.8772951208</v>
      </c>
      <c r="H31" s="7">
        <f t="shared" si="7"/>
        <v>6</v>
      </c>
      <c r="I31" s="7">
        <f t="shared" si="8"/>
        <v>0.3881393267</v>
      </c>
      <c r="J31" s="7">
        <f t="shared" si="9"/>
        <v>36</v>
      </c>
      <c r="K31" s="7">
        <f t="shared" si="10"/>
        <v>0.3973745454</v>
      </c>
      <c r="L31" s="7">
        <f t="shared" si="11"/>
        <v>69</v>
      </c>
      <c r="M31" s="7">
        <f t="shared" si="12"/>
        <v>0.5687338711</v>
      </c>
      <c r="N31" s="7">
        <f t="shared" si="13"/>
        <v>51</v>
      </c>
      <c r="O31" s="7">
        <f t="shared" si="15"/>
        <v>0.3825136453</v>
      </c>
      <c r="P31" s="7" t="str">
        <f t="shared" si="16"/>
        <v>#N/A</v>
      </c>
      <c r="Q31" s="7">
        <f t="shared" si="17"/>
        <v>0.1261029063</v>
      </c>
      <c r="R31" s="7" t="str">
        <f t="shared" si="18"/>
        <v>#N/A</v>
      </c>
      <c r="U31" s="7">
        <f t="shared" si="20"/>
        <v>0.4895135278</v>
      </c>
      <c r="V31" s="7" t="str">
        <f t="shared" si="21"/>
        <v>#N/A</v>
      </c>
      <c r="W31" s="7">
        <f t="shared" si="22"/>
        <v>0.5484555785</v>
      </c>
      <c r="X31" s="7" t="str">
        <f t="shared" si="23"/>
        <v>#N/A</v>
      </c>
      <c r="Y31" s="7">
        <f t="shared" si="24"/>
        <v>0.443091197</v>
      </c>
      <c r="Z31" s="7" t="str">
        <f t="shared" si="25"/>
        <v>#N/A</v>
      </c>
      <c r="AA31" s="7">
        <f t="shared" si="26"/>
        <v>0.4678127418</v>
      </c>
      <c r="AB31" s="7" t="str">
        <f t="shared" si="27"/>
        <v>#N/A</v>
      </c>
    </row>
    <row r="32" ht="15.75" customHeight="1">
      <c r="A32" s="25">
        <f t="shared" si="1"/>
        <v>0.9209674547</v>
      </c>
      <c r="B32" s="25">
        <f t="shared" si="2"/>
        <v>4</v>
      </c>
      <c r="C32" s="25">
        <f t="shared" si="3"/>
        <v>0.931270254</v>
      </c>
      <c r="D32" s="25">
        <f t="shared" si="4"/>
        <v>12</v>
      </c>
      <c r="G32" s="7">
        <f t="shared" si="6"/>
        <v>0.8075936566</v>
      </c>
      <c r="H32" s="7">
        <f t="shared" si="7"/>
        <v>12</v>
      </c>
      <c r="I32" s="7">
        <f t="shared" si="8"/>
        <v>0.8909260297</v>
      </c>
      <c r="J32" s="7">
        <f t="shared" si="9"/>
        <v>4</v>
      </c>
      <c r="K32" s="7">
        <f t="shared" si="10"/>
        <v>0.702099842</v>
      </c>
      <c r="L32" s="7">
        <f t="shared" si="11"/>
        <v>34</v>
      </c>
      <c r="M32" s="7">
        <f t="shared" si="12"/>
        <v>0.2606573931</v>
      </c>
      <c r="N32" s="7">
        <f t="shared" si="13"/>
        <v>80</v>
      </c>
      <c r="O32" s="7">
        <f t="shared" si="15"/>
        <v>0.0384678392</v>
      </c>
      <c r="P32" s="7" t="str">
        <f t="shared" si="16"/>
        <v>#N/A</v>
      </c>
      <c r="Q32" s="7">
        <f t="shared" si="17"/>
        <v>0.3183007505</v>
      </c>
      <c r="R32" s="7" t="str">
        <f t="shared" si="18"/>
        <v>#N/A</v>
      </c>
      <c r="U32" s="7">
        <f t="shared" si="20"/>
        <v>0.05771374021</v>
      </c>
      <c r="V32" s="7" t="str">
        <f t="shared" si="21"/>
        <v>#N/A</v>
      </c>
      <c r="W32" s="7">
        <f t="shared" si="22"/>
        <v>0.8073562191</v>
      </c>
      <c r="X32" s="7" t="str">
        <f t="shared" si="23"/>
        <v>#N/A</v>
      </c>
      <c r="Y32" s="7">
        <f t="shared" si="24"/>
        <v>0.7262579903</v>
      </c>
      <c r="Z32" s="7" t="str">
        <f t="shared" si="25"/>
        <v>#N/A</v>
      </c>
      <c r="AA32" s="7">
        <f t="shared" si="26"/>
        <v>0.727045618</v>
      </c>
      <c r="AB32" s="7" t="str">
        <f t="shared" si="27"/>
        <v>#N/A</v>
      </c>
    </row>
    <row r="33" ht="15.75" customHeight="1">
      <c r="A33" s="25">
        <f t="shared" si="1"/>
        <v>0.7628740993</v>
      </c>
      <c r="B33" s="25">
        <f t="shared" si="2"/>
        <v>17</v>
      </c>
      <c r="C33" s="25">
        <f t="shared" si="3"/>
        <v>0.314243325</v>
      </c>
      <c r="D33" s="25">
        <f t="shared" si="4"/>
        <v>113</v>
      </c>
      <c r="G33" s="7">
        <f t="shared" si="6"/>
        <v>0.2110536744</v>
      </c>
      <c r="H33" s="7">
        <f t="shared" si="7"/>
        <v>32</v>
      </c>
      <c r="I33" s="7">
        <f t="shared" si="8"/>
        <v>0.0926769935</v>
      </c>
      <c r="J33" s="7">
        <f t="shared" si="9"/>
        <v>52</v>
      </c>
      <c r="K33" s="7">
        <f t="shared" si="10"/>
        <v>0.9060899946</v>
      </c>
      <c r="L33" s="7">
        <f t="shared" si="11"/>
        <v>13</v>
      </c>
      <c r="M33" s="7">
        <f t="shared" si="12"/>
        <v>0.2451138773</v>
      </c>
      <c r="N33" s="7">
        <f t="shared" si="13"/>
        <v>83</v>
      </c>
      <c r="O33" s="7">
        <f t="shared" si="15"/>
        <v>0.415119764</v>
      </c>
      <c r="P33" s="7" t="str">
        <f t="shared" si="16"/>
        <v>#N/A</v>
      </c>
      <c r="Q33" s="7">
        <f t="shared" si="17"/>
        <v>0.2775042334</v>
      </c>
      <c r="R33" s="7" t="str">
        <f t="shared" si="18"/>
        <v>#N/A</v>
      </c>
      <c r="U33" s="7">
        <f t="shared" si="20"/>
        <v>0.9205206282</v>
      </c>
      <c r="V33" s="7" t="str">
        <f t="shared" si="21"/>
        <v>#N/A</v>
      </c>
      <c r="W33" s="7">
        <f t="shared" si="22"/>
        <v>0.2514926726</v>
      </c>
      <c r="X33" s="7" t="str">
        <f t="shared" si="23"/>
        <v>#N/A</v>
      </c>
      <c r="Y33" s="7">
        <f t="shared" si="24"/>
        <v>0.9117384969</v>
      </c>
      <c r="Z33" s="7" t="str">
        <f t="shared" si="25"/>
        <v>#N/A</v>
      </c>
      <c r="AA33" s="7">
        <f t="shared" si="26"/>
        <v>0.4417592298</v>
      </c>
      <c r="AB33" s="7" t="str">
        <f t="shared" si="27"/>
        <v>#N/A</v>
      </c>
    </row>
    <row r="34" ht="15.75" customHeight="1">
      <c r="A34" s="25">
        <f t="shared" si="1"/>
        <v>0.1520622694</v>
      </c>
      <c r="B34" s="25">
        <f t="shared" si="2"/>
        <v>70</v>
      </c>
      <c r="C34" s="25">
        <f t="shared" si="3"/>
        <v>0.6935488939</v>
      </c>
      <c r="D34" s="25">
        <f t="shared" si="4"/>
        <v>49</v>
      </c>
      <c r="G34" s="7">
        <f t="shared" si="6"/>
        <v>0.295727456</v>
      </c>
      <c r="H34" s="7">
        <f t="shared" si="7"/>
        <v>28</v>
      </c>
      <c r="I34" s="7">
        <f t="shared" si="8"/>
        <v>0.2806475876</v>
      </c>
      <c r="J34" s="7">
        <f t="shared" si="9"/>
        <v>40</v>
      </c>
      <c r="K34" s="7">
        <f t="shared" si="10"/>
        <v>0.7345808522</v>
      </c>
      <c r="L34" s="7">
        <f t="shared" si="11"/>
        <v>32</v>
      </c>
      <c r="M34" s="7">
        <f t="shared" si="12"/>
        <v>0.1016705562</v>
      </c>
      <c r="N34" s="7">
        <f t="shared" si="13"/>
        <v>95</v>
      </c>
      <c r="O34" s="7">
        <f t="shared" si="15"/>
        <v>0.672444536</v>
      </c>
      <c r="P34" s="7" t="str">
        <f t="shared" si="16"/>
        <v>#N/A</v>
      </c>
      <c r="Q34" s="7">
        <f t="shared" si="17"/>
        <v>0.3830196045</v>
      </c>
      <c r="R34" s="7" t="str">
        <f t="shared" si="18"/>
        <v>#N/A</v>
      </c>
      <c r="U34" s="7">
        <f t="shared" si="20"/>
        <v>0.8470966291</v>
      </c>
      <c r="V34" s="7" t="str">
        <f t="shared" si="21"/>
        <v>#N/A</v>
      </c>
      <c r="W34" s="7">
        <f t="shared" si="22"/>
        <v>0.7625562797</v>
      </c>
      <c r="X34" s="7" t="str">
        <f t="shared" si="23"/>
        <v>#N/A</v>
      </c>
      <c r="Y34" s="7">
        <f t="shared" si="24"/>
        <v>0.119462337</v>
      </c>
      <c r="Z34" s="7" t="str">
        <f t="shared" si="25"/>
        <v>#N/A</v>
      </c>
      <c r="AA34" s="7">
        <f t="shared" si="26"/>
        <v>0.5316468697</v>
      </c>
      <c r="AB34" s="7" t="str">
        <f t="shared" si="27"/>
        <v>#N/A</v>
      </c>
    </row>
    <row r="35" ht="15.75" customHeight="1">
      <c r="A35" s="25">
        <f t="shared" si="1"/>
        <v>0.4591258629</v>
      </c>
      <c r="B35" s="25">
        <f t="shared" si="2"/>
        <v>44</v>
      </c>
      <c r="C35" s="25">
        <f t="shared" si="3"/>
        <v>0.8537945067</v>
      </c>
      <c r="D35" s="25">
        <f t="shared" si="4"/>
        <v>25</v>
      </c>
      <c r="G35" s="7">
        <f t="shared" si="6"/>
        <v>0.1247882743</v>
      </c>
      <c r="H35" s="7">
        <f t="shared" si="7"/>
        <v>36</v>
      </c>
      <c r="I35" s="7">
        <f t="shared" si="8"/>
        <v>0.8640613641</v>
      </c>
      <c r="J35" s="7">
        <f t="shared" si="9"/>
        <v>7</v>
      </c>
      <c r="K35" s="7">
        <f t="shared" si="10"/>
        <v>0.9736216204</v>
      </c>
      <c r="L35" s="7">
        <f t="shared" si="11"/>
        <v>5</v>
      </c>
      <c r="M35" s="7">
        <f t="shared" si="12"/>
        <v>0.4745659807</v>
      </c>
      <c r="N35" s="7">
        <f t="shared" si="13"/>
        <v>58</v>
      </c>
      <c r="O35" s="7">
        <f t="shared" si="15"/>
        <v>0.643867211</v>
      </c>
      <c r="P35" s="7" t="str">
        <f t="shared" si="16"/>
        <v>#N/A</v>
      </c>
      <c r="Q35" s="7">
        <f t="shared" si="17"/>
        <v>0.01966317283</v>
      </c>
      <c r="R35" s="7" t="str">
        <f t="shared" si="18"/>
        <v>#N/A</v>
      </c>
      <c r="U35" s="7">
        <f t="shared" si="20"/>
        <v>0.9682661204</v>
      </c>
      <c r="V35" s="7" t="str">
        <f t="shared" si="21"/>
        <v>#N/A</v>
      </c>
      <c r="W35" s="7">
        <f t="shared" si="22"/>
        <v>0.852325502</v>
      </c>
      <c r="X35" s="7" t="str">
        <f t="shared" si="23"/>
        <v>#N/A</v>
      </c>
      <c r="Y35" s="7">
        <f t="shared" si="24"/>
        <v>0.1784973905</v>
      </c>
      <c r="Z35" s="7" t="str">
        <f t="shared" si="25"/>
        <v>#N/A</v>
      </c>
      <c r="AA35" s="7">
        <f t="shared" si="26"/>
        <v>0.9353837053</v>
      </c>
      <c r="AB35" s="7" t="str">
        <f t="shared" si="27"/>
        <v>#N/A</v>
      </c>
    </row>
    <row r="36" ht="15.75" customHeight="1">
      <c r="A36" s="25">
        <f t="shared" si="1"/>
        <v>0.8092518128</v>
      </c>
      <c r="B36" s="25">
        <f t="shared" si="2"/>
        <v>15</v>
      </c>
      <c r="C36" s="25">
        <f t="shared" si="3"/>
        <v>0.07835663614</v>
      </c>
      <c r="D36" s="25">
        <f t="shared" si="4"/>
        <v>148</v>
      </c>
      <c r="G36" s="7">
        <f t="shared" si="6"/>
        <v>0.5196586633</v>
      </c>
      <c r="H36" s="7">
        <f t="shared" si="7"/>
        <v>23</v>
      </c>
      <c r="I36" s="7">
        <f t="shared" si="8"/>
        <v>0.6769936924</v>
      </c>
      <c r="J36" s="7">
        <f t="shared" si="9"/>
        <v>12</v>
      </c>
      <c r="K36" s="7">
        <f t="shared" si="10"/>
        <v>0.3423293528</v>
      </c>
      <c r="L36" s="7">
        <f t="shared" si="11"/>
        <v>74</v>
      </c>
      <c r="M36" s="7">
        <f t="shared" si="12"/>
        <v>0.3888869485</v>
      </c>
      <c r="N36" s="7">
        <f t="shared" si="13"/>
        <v>64</v>
      </c>
      <c r="O36" s="7">
        <f t="shared" si="15"/>
        <v>0.3150381261</v>
      </c>
      <c r="P36" s="7" t="str">
        <f t="shared" si="16"/>
        <v>#N/A</v>
      </c>
      <c r="Q36" s="7">
        <f t="shared" si="17"/>
        <v>0.7435758689</v>
      </c>
      <c r="R36" s="7" t="str">
        <f t="shared" si="18"/>
        <v>#N/A</v>
      </c>
      <c r="U36" s="7">
        <f t="shared" si="20"/>
        <v>0.02195894859</v>
      </c>
      <c r="V36" s="7" t="str">
        <f t="shared" si="21"/>
        <v>#N/A</v>
      </c>
      <c r="W36" s="7">
        <f t="shared" si="22"/>
        <v>0.9850790795</v>
      </c>
      <c r="X36" s="7" t="str">
        <f t="shared" si="23"/>
        <v>#N/A</v>
      </c>
      <c r="Y36" s="7">
        <f t="shared" si="24"/>
        <v>0.8076240397</v>
      </c>
      <c r="Z36" s="7" t="str">
        <f t="shared" si="25"/>
        <v>#N/A</v>
      </c>
      <c r="AA36" s="7">
        <f t="shared" si="26"/>
        <v>0.003771429831</v>
      </c>
      <c r="AB36" s="7" t="str">
        <f t="shared" si="27"/>
        <v>#N/A</v>
      </c>
    </row>
    <row r="37" ht="15.75" customHeight="1">
      <c r="A37" s="25">
        <f t="shared" si="1"/>
        <v>0.09229596452</v>
      </c>
      <c r="B37" s="25">
        <f t="shared" si="2"/>
        <v>72</v>
      </c>
      <c r="C37" s="25">
        <f t="shared" si="3"/>
        <v>0.5182520776</v>
      </c>
      <c r="D37" s="25">
        <f t="shared" si="4"/>
        <v>80</v>
      </c>
      <c r="G37" s="7">
        <f t="shared" si="6"/>
        <v>0.584415909</v>
      </c>
      <c r="H37" s="7">
        <f t="shared" si="7"/>
        <v>18</v>
      </c>
      <c r="I37" s="7">
        <f t="shared" si="8"/>
        <v>0.5816393712</v>
      </c>
      <c r="J37" s="7">
        <f t="shared" si="9"/>
        <v>19</v>
      </c>
      <c r="K37" s="7">
        <f t="shared" si="10"/>
        <v>0.09601773027</v>
      </c>
      <c r="L37" s="7">
        <f t="shared" si="11"/>
        <v>109</v>
      </c>
      <c r="M37" s="7">
        <f t="shared" si="12"/>
        <v>0.4739116142</v>
      </c>
      <c r="N37" s="7">
        <f t="shared" si="13"/>
        <v>59</v>
      </c>
      <c r="O37" s="7">
        <f t="shared" si="15"/>
        <v>0.7861452343</v>
      </c>
      <c r="P37" s="7" t="str">
        <f t="shared" si="16"/>
        <v>#N/A</v>
      </c>
      <c r="Q37" s="7">
        <f t="shared" si="17"/>
        <v>0.9310234114</v>
      </c>
      <c r="R37" s="7" t="str">
        <f t="shared" si="18"/>
        <v>#N/A</v>
      </c>
      <c r="U37" s="7">
        <f t="shared" si="20"/>
        <v>0.8280864774</v>
      </c>
      <c r="V37" s="7" t="str">
        <f t="shared" si="21"/>
        <v>#N/A</v>
      </c>
      <c r="W37" s="7">
        <f t="shared" si="22"/>
        <v>0.01468502338</v>
      </c>
      <c r="X37" s="7" t="str">
        <f t="shared" si="23"/>
        <v>#N/A</v>
      </c>
      <c r="Y37" s="7">
        <f t="shared" si="24"/>
        <v>0.326843844</v>
      </c>
      <c r="Z37" s="7" t="str">
        <f t="shared" si="25"/>
        <v>#N/A</v>
      </c>
      <c r="AA37" s="7">
        <f t="shared" si="26"/>
        <v>0.4247650863</v>
      </c>
      <c r="AB37" s="7" t="str">
        <f t="shared" si="27"/>
        <v>#N/A</v>
      </c>
    </row>
    <row r="38" ht="15.75" customHeight="1">
      <c r="A38" s="25">
        <f t="shared" si="1"/>
        <v>0.7528442301</v>
      </c>
      <c r="B38" s="25">
        <f t="shared" si="2"/>
        <v>18</v>
      </c>
      <c r="C38" s="25">
        <f t="shared" si="3"/>
        <v>0.5702403466</v>
      </c>
      <c r="D38" s="25">
        <f t="shared" si="4"/>
        <v>75</v>
      </c>
      <c r="G38" s="7">
        <f t="shared" si="6"/>
        <v>0.5728150261</v>
      </c>
      <c r="H38" s="7">
        <f t="shared" si="7"/>
        <v>19</v>
      </c>
      <c r="I38" s="7">
        <f t="shared" si="8"/>
        <v>0.201899175</v>
      </c>
      <c r="J38" s="7">
        <f t="shared" si="9"/>
        <v>46</v>
      </c>
      <c r="K38" s="7">
        <f t="shared" si="10"/>
        <v>0.2202337787</v>
      </c>
      <c r="L38" s="7">
        <f t="shared" si="11"/>
        <v>93</v>
      </c>
      <c r="M38" s="7">
        <f t="shared" si="12"/>
        <v>0.5003266085</v>
      </c>
      <c r="N38" s="7">
        <f t="shared" si="13"/>
        <v>55</v>
      </c>
      <c r="O38" s="7">
        <f t="shared" si="15"/>
        <v>0.9406063477</v>
      </c>
      <c r="P38" s="7" t="str">
        <f t="shared" si="16"/>
        <v>#N/A</v>
      </c>
      <c r="Q38" s="7">
        <f t="shared" si="17"/>
        <v>0.2260325775</v>
      </c>
      <c r="R38" s="7" t="str">
        <f t="shared" si="18"/>
        <v>#N/A</v>
      </c>
      <c r="U38" s="7">
        <f t="shared" si="20"/>
        <v>0.827895093</v>
      </c>
      <c r="V38" s="7" t="str">
        <f t="shared" si="21"/>
        <v>#N/A</v>
      </c>
      <c r="W38" s="7">
        <f t="shared" si="22"/>
        <v>0.9999195693</v>
      </c>
      <c r="X38" s="7" t="str">
        <f t="shared" si="23"/>
        <v>#N/A</v>
      </c>
      <c r="Y38" s="7">
        <f t="shared" si="24"/>
        <v>0.7175367887</v>
      </c>
      <c r="Z38" s="7" t="str">
        <f t="shared" si="25"/>
        <v>#N/A</v>
      </c>
      <c r="AA38" s="7">
        <f t="shared" si="26"/>
        <v>0.1622191098</v>
      </c>
      <c r="AB38" s="7" t="str">
        <f t="shared" si="27"/>
        <v>#N/A</v>
      </c>
    </row>
    <row r="39" ht="15.75" customHeight="1">
      <c r="A39" s="25">
        <f t="shared" si="1"/>
        <v>0.5775212346</v>
      </c>
      <c r="B39" s="25">
        <f t="shared" si="2"/>
        <v>32</v>
      </c>
      <c r="C39" s="25">
        <f t="shared" si="3"/>
        <v>0.6303973052</v>
      </c>
      <c r="D39" s="25">
        <f t="shared" si="4"/>
        <v>63</v>
      </c>
      <c r="G39" s="7">
        <f t="shared" si="6"/>
        <v>0.589752119</v>
      </c>
      <c r="H39" s="7">
        <f t="shared" si="7"/>
        <v>17</v>
      </c>
      <c r="I39" s="7">
        <f t="shared" si="8"/>
        <v>0.4348196626</v>
      </c>
      <c r="J39" s="7">
        <f t="shared" si="9"/>
        <v>33</v>
      </c>
      <c r="K39" s="7">
        <f t="shared" si="10"/>
        <v>0.1997801139</v>
      </c>
      <c r="L39" s="7">
        <f t="shared" si="11"/>
        <v>96</v>
      </c>
      <c r="M39" s="7">
        <f t="shared" si="12"/>
        <v>0.3545008029</v>
      </c>
      <c r="N39" s="7">
        <f t="shared" si="13"/>
        <v>67</v>
      </c>
      <c r="O39" s="7">
        <f t="shared" si="15"/>
        <v>0.7223737483</v>
      </c>
      <c r="P39" s="7" t="str">
        <f t="shared" si="16"/>
        <v>#N/A</v>
      </c>
      <c r="Q39" s="7">
        <f t="shared" si="17"/>
        <v>0.0548906672</v>
      </c>
      <c r="R39" s="7" t="str">
        <f t="shared" si="18"/>
        <v>#N/A</v>
      </c>
      <c r="U39" s="7">
        <f t="shared" si="20"/>
        <v>0.9846009849</v>
      </c>
      <c r="V39" s="7" t="str">
        <f t="shared" si="21"/>
        <v>#N/A</v>
      </c>
      <c r="W39" s="7">
        <f t="shared" si="22"/>
        <v>0.2967728371</v>
      </c>
      <c r="X39" s="7" t="str">
        <f t="shared" si="23"/>
        <v>#N/A</v>
      </c>
      <c r="Y39" s="7">
        <f t="shared" si="24"/>
        <v>0.3903087267</v>
      </c>
      <c r="Z39" s="7" t="str">
        <f t="shared" si="25"/>
        <v>#N/A</v>
      </c>
      <c r="AA39" s="7">
        <f t="shared" si="26"/>
        <v>0.282728359</v>
      </c>
      <c r="AB39" s="7" t="str">
        <f t="shared" si="27"/>
        <v>#N/A</v>
      </c>
    </row>
    <row r="40" ht="15.75" customHeight="1">
      <c r="A40" s="25">
        <f t="shared" si="1"/>
        <v>0.3249085269</v>
      </c>
      <c r="B40" s="25">
        <f t="shared" si="2"/>
        <v>55</v>
      </c>
      <c r="C40" s="25">
        <f t="shared" si="3"/>
        <v>0.5936078062</v>
      </c>
      <c r="D40" s="25">
        <f t="shared" si="4"/>
        <v>71</v>
      </c>
      <c r="G40" s="7">
        <f t="shared" si="6"/>
        <v>0.550656625</v>
      </c>
      <c r="H40" s="7">
        <f t="shared" si="7"/>
        <v>21</v>
      </c>
      <c r="I40" s="7">
        <f t="shared" si="8"/>
        <v>0.8839712431</v>
      </c>
      <c r="J40" s="7">
        <f t="shared" si="9"/>
        <v>6</v>
      </c>
      <c r="K40" s="7">
        <f t="shared" si="10"/>
        <v>0.5208720886</v>
      </c>
      <c r="L40" s="7">
        <f t="shared" si="11"/>
        <v>55</v>
      </c>
      <c r="M40" s="7">
        <f t="shared" si="12"/>
        <v>0.5707830672</v>
      </c>
      <c r="N40" s="7">
        <f t="shared" si="13"/>
        <v>50</v>
      </c>
      <c r="O40" s="7">
        <f t="shared" si="15"/>
        <v>0.3436888628</v>
      </c>
      <c r="P40" s="7" t="str">
        <f t="shared" si="16"/>
        <v>#N/A</v>
      </c>
      <c r="Q40" s="7">
        <f t="shared" si="17"/>
        <v>0.8727472257</v>
      </c>
      <c r="R40" s="7" t="str">
        <f t="shared" si="18"/>
        <v>#N/A</v>
      </c>
      <c r="U40" s="7">
        <f t="shared" si="20"/>
        <v>0.7729218182</v>
      </c>
      <c r="V40" s="7" t="str">
        <f t="shared" si="21"/>
        <v>#N/A</v>
      </c>
      <c r="W40" s="7">
        <f t="shared" si="22"/>
        <v>0.4862935247</v>
      </c>
      <c r="X40" s="7" t="str">
        <f t="shared" si="23"/>
        <v>#N/A</v>
      </c>
      <c r="Y40" s="7">
        <f t="shared" si="24"/>
        <v>0.5039453487</v>
      </c>
      <c r="Z40" s="7" t="str">
        <f t="shared" si="25"/>
        <v>#N/A</v>
      </c>
      <c r="AA40" s="7">
        <f t="shared" si="26"/>
        <v>0.5017338832</v>
      </c>
      <c r="AB40" s="7" t="str">
        <f t="shared" si="27"/>
        <v>#N/A</v>
      </c>
    </row>
    <row r="41" ht="15.75" customHeight="1">
      <c r="A41" s="25">
        <f t="shared" si="1"/>
        <v>0.270647174</v>
      </c>
      <c r="B41" s="25">
        <f t="shared" si="2"/>
        <v>62</v>
      </c>
      <c r="C41" s="25">
        <f t="shared" si="3"/>
        <v>0.02490895292</v>
      </c>
      <c r="D41" s="25">
        <f t="shared" si="4"/>
        <v>157</v>
      </c>
      <c r="I41" s="7">
        <f t="shared" si="8"/>
        <v>0.00956359883</v>
      </c>
      <c r="J41" s="7">
        <f t="shared" si="9"/>
        <v>60</v>
      </c>
      <c r="K41" s="7">
        <f t="shared" si="10"/>
        <v>0.3068259486</v>
      </c>
      <c r="L41" s="7">
        <f t="shared" si="11"/>
        <v>83</v>
      </c>
      <c r="M41" s="7">
        <f t="shared" si="12"/>
        <v>0.9835320412</v>
      </c>
      <c r="N41" s="7">
        <f t="shared" si="13"/>
        <v>3</v>
      </c>
      <c r="O41" s="7">
        <f t="shared" si="15"/>
        <v>0.5850128853</v>
      </c>
      <c r="P41" s="7" t="str">
        <f t="shared" si="16"/>
        <v>#N/A</v>
      </c>
      <c r="Q41" s="7">
        <f t="shared" si="17"/>
        <v>0.9669533681</v>
      </c>
      <c r="R41" s="7" t="str">
        <f t="shared" si="18"/>
        <v>#N/A</v>
      </c>
      <c r="U41" s="7">
        <f t="shared" si="20"/>
        <v>0.6944835816</v>
      </c>
      <c r="V41" s="7" t="str">
        <f t="shared" si="21"/>
        <v>#N/A</v>
      </c>
      <c r="W41" s="7">
        <f t="shared" si="22"/>
        <v>0.6441116162</v>
      </c>
      <c r="X41" s="7" t="str">
        <f t="shared" si="23"/>
        <v>#N/A</v>
      </c>
      <c r="Y41" s="7">
        <f t="shared" si="24"/>
        <v>0.1288761479</v>
      </c>
      <c r="Z41" s="7" t="str">
        <f t="shared" si="25"/>
        <v>#N/A</v>
      </c>
      <c r="AA41" s="7">
        <f t="shared" si="26"/>
        <v>0.7324681307</v>
      </c>
      <c r="AB41" s="7" t="str">
        <f t="shared" si="27"/>
        <v>#N/A</v>
      </c>
    </row>
    <row r="42" ht="15.75" customHeight="1">
      <c r="A42" s="25">
        <f t="shared" si="1"/>
        <v>0.3564826799</v>
      </c>
      <c r="B42" s="25">
        <f t="shared" si="2"/>
        <v>50</v>
      </c>
      <c r="C42" s="25">
        <f t="shared" si="3"/>
        <v>0.3893231947</v>
      </c>
      <c r="D42" s="25">
        <f t="shared" si="4"/>
        <v>98</v>
      </c>
      <c r="I42" s="7">
        <f t="shared" si="8"/>
        <v>0.03775689833</v>
      </c>
      <c r="J42" s="7">
        <f t="shared" si="9"/>
        <v>57</v>
      </c>
      <c r="K42" s="7">
        <f t="shared" si="10"/>
        <v>0.1712690999</v>
      </c>
      <c r="L42" s="7">
        <f t="shared" si="11"/>
        <v>99</v>
      </c>
      <c r="M42" s="7">
        <f t="shared" si="12"/>
        <v>0.7280352456</v>
      </c>
      <c r="N42" s="7">
        <f t="shared" si="13"/>
        <v>40</v>
      </c>
      <c r="O42" s="7">
        <f t="shared" si="15"/>
        <v>0.9953776131</v>
      </c>
      <c r="P42" s="7" t="str">
        <f t="shared" si="16"/>
        <v>#N/A</v>
      </c>
      <c r="Q42" s="7">
        <f t="shared" si="17"/>
        <v>0.7811279839</v>
      </c>
      <c r="R42" s="7" t="str">
        <f t="shared" si="18"/>
        <v>#N/A</v>
      </c>
      <c r="W42" s="7">
        <f t="shared" si="22"/>
        <v>0.8008615037</v>
      </c>
      <c r="X42" s="7" t="str">
        <f t="shared" si="23"/>
        <v>#N/A</v>
      </c>
      <c r="Y42" s="7">
        <f t="shared" si="24"/>
        <v>0.5331271168</v>
      </c>
      <c r="Z42" s="7" t="str">
        <f t="shared" si="25"/>
        <v>#N/A</v>
      </c>
      <c r="AA42" s="7">
        <f t="shared" si="26"/>
        <v>0.54809098</v>
      </c>
      <c r="AB42" s="7" t="str">
        <f t="shared" si="27"/>
        <v>#N/A</v>
      </c>
    </row>
    <row r="43" ht="15.75" customHeight="1">
      <c r="A43" s="25">
        <f t="shared" si="1"/>
        <v>0.6058332341</v>
      </c>
      <c r="B43" s="25">
        <f t="shared" si="2"/>
        <v>30</v>
      </c>
      <c r="C43" s="25">
        <f t="shared" si="3"/>
        <v>0.3530403098</v>
      </c>
      <c r="D43" s="25">
        <f t="shared" si="4"/>
        <v>107</v>
      </c>
      <c r="I43" s="7">
        <f t="shared" si="8"/>
        <v>0.5262483765</v>
      </c>
      <c r="J43" s="7">
        <f t="shared" si="9"/>
        <v>25</v>
      </c>
      <c r="K43" s="7">
        <f t="shared" si="10"/>
        <v>0.9955852208</v>
      </c>
      <c r="L43" s="7">
        <f t="shared" si="11"/>
        <v>2</v>
      </c>
      <c r="M43" s="7">
        <f t="shared" si="12"/>
        <v>0.4164323403</v>
      </c>
      <c r="N43" s="7">
        <f t="shared" si="13"/>
        <v>61</v>
      </c>
      <c r="O43" s="7">
        <f t="shared" si="15"/>
        <v>0.866274378</v>
      </c>
      <c r="P43" s="7" t="str">
        <f t="shared" si="16"/>
        <v>#N/A</v>
      </c>
      <c r="Q43" s="7">
        <f t="shared" si="17"/>
        <v>0.191665442</v>
      </c>
      <c r="R43" s="7" t="str">
        <f t="shared" si="18"/>
        <v>#N/A</v>
      </c>
      <c r="W43" s="7">
        <f t="shared" si="22"/>
        <v>0.9660522506</v>
      </c>
      <c r="X43" s="7" t="str">
        <f t="shared" si="23"/>
        <v>#N/A</v>
      </c>
      <c r="Y43" s="7">
        <f t="shared" si="24"/>
        <v>0.2807292092</v>
      </c>
      <c r="Z43" s="7" t="str">
        <f t="shared" si="25"/>
        <v>#N/A</v>
      </c>
      <c r="AA43" s="7">
        <f t="shared" si="26"/>
        <v>0.4876509879</v>
      </c>
      <c r="AB43" s="7" t="str">
        <f t="shared" si="27"/>
        <v>#N/A</v>
      </c>
    </row>
    <row r="44" ht="15.75" customHeight="1">
      <c r="A44" s="25">
        <f t="shared" si="1"/>
        <v>0.2975572716</v>
      </c>
      <c r="B44" s="25">
        <f t="shared" si="2"/>
        <v>56</v>
      </c>
      <c r="C44" s="25">
        <f t="shared" si="3"/>
        <v>0.6414068524</v>
      </c>
      <c r="D44" s="25">
        <f t="shared" si="4"/>
        <v>59</v>
      </c>
      <c r="I44" s="7">
        <f t="shared" si="8"/>
        <v>0.6436978683</v>
      </c>
      <c r="J44" s="7">
        <f t="shared" si="9"/>
        <v>16</v>
      </c>
      <c r="K44" s="7">
        <f t="shared" si="10"/>
        <v>0.4849880229</v>
      </c>
      <c r="L44" s="7">
        <f t="shared" si="11"/>
        <v>60</v>
      </c>
      <c r="M44" s="7">
        <f t="shared" si="12"/>
        <v>0.7975951036</v>
      </c>
      <c r="N44" s="7">
        <f t="shared" si="13"/>
        <v>27</v>
      </c>
      <c r="O44" s="7">
        <f t="shared" si="15"/>
        <v>0.5847048762</v>
      </c>
      <c r="P44" s="7" t="str">
        <f t="shared" si="16"/>
        <v>#N/A</v>
      </c>
      <c r="Q44" s="7">
        <f t="shared" si="17"/>
        <v>0.5041836175</v>
      </c>
      <c r="R44" s="7" t="str">
        <f t="shared" si="18"/>
        <v>#N/A</v>
      </c>
      <c r="W44" s="7">
        <f t="shared" si="22"/>
        <v>0.991789419</v>
      </c>
      <c r="X44" s="7" t="str">
        <f t="shared" si="23"/>
        <v>#N/A</v>
      </c>
      <c r="Y44" s="7">
        <f t="shared" si="24"/>
        <v>0.4077850164</v>
      </c>
      <c r="Z44" s="7" t="str">
        <f t="shared" si="25"/>
        <v>#N/A</v>
      </c>
      <c r="AA44" s="7">
        <f t="shared" si="26"/>
        <v>0.8719282233</v>
      </c>
      <c r="AB44" s="7" t="str">
        <f t="shared" si="27"/>
        <v>#N/A</v>
      </c>
    </row>
    <row r="45" ht="15.75" customHeight="1">
      <c r="A45" s="25">
        <f t="shared" si="1"/>
        <v>0.2734830681</v>
      </c>
      <c r="B45" s="25">
        <f t="shared" si="2"/>
        <v>61</v>
      </c>
      <c r="C45" s="25">
        <f t="shared" si="3"/>
        <v>0.7590673428</v>
      </c>
      <c r="D45" s="25">
        <f t="shared" si="4"/>
        <v>41</v>
      </c>
      <c r="I45" s="7">
        <f t="shared" si="8"/>
        <v>0.2534540576</v>
      </c>
      <c r="J45" s="7">
        <f t="shared" si="9"/>
        <v>44</v>
      </c>
      <c r="K45" s="7">
        <f t="shared" si="10"/>
        <v>0.2715843013</v>
      </c>
      <c r="L45" s="7">
        <f t="shared" si="11"/>
        <v>86</v>
      </c>
      <c r="M45" s="7">
        <f t="shared" si="12"/>
        <v>0.3208831031</v>
      </c>
      <c r="N45" s="7">
        <f t="shared" si="13"/>
        <v>70</v>
      </c>
      <c r="O45" s="7">
        <f t="shared" si="15"/>
        <v>0.6921241938</v>
      </c>
      <c r="P45" s="7" t="str">
        <f t="shared" si="16"/>
        <v>#N/A</v>
      </c>
      <c r="Q45" s="7">
        <f t="shared" si="17"/>
        <v>0.3922716544</v>
      </c>
      <c r="R45" s="7" t="str">
        <f t="shared" si="18"/>
        <v>#N/A</v>
      </c>
      <c r="W45" s="7">
        <f t="shared" si="22"/>
        <v>0.9098364507</v>
      </c>
      <c r="X45" s="7" t="str">
        <f t="shared" si="23"/>
        <v>#N/A</v>
      </c>
      <c r="Y45" s="7">
        <f t="shared" si="24"/>
        <v>0.9612770628</v>
      </c>
      <c r="Z45" s="7" t="str">
        <f t="shared" si="25"/>
        <v>#N/A</v>
      </c>
      <c r="AA45" s="7">
        <f t="shared" si="26"/>
        <v>0.2584753653</v>
      </c>
      <c r="AB45" s="7" t="str">
        <f t="shared" si="27"/>
        <v>#N/A</v>
      </c>
    </row>
    <row r="46" ht="15.75" customHeight="1">
      <c r="A46" s="25">
        <f t="shared" si="1"/>
        <v>0.4074131321</v>
      </c>
      <c r="B46" s="25">
        <f t="shared" si="2"/>
        <v>48</v>
      </c>
      <c r="C46" s="25">
        <f t="shared" si="3"/>
        <v>0.9668634094</v>
      </c>
      <c r="D46" s="25">
        <f t="shared" si="4"/>
        <v>4</v>
      </c>
      <c r="I46" s="7">
        <f t="shared" si="8"/>
        <v>0.6588669263</v>
      </c>
      <c r="J46" s="7">
        <f t="shared" si="9"/>
        <v>13</v>
      </c>
      <c r="K46" s="7">
        <f t="shared" si="10"/>
        <v>0.1477140941</v>
      </c>
      <c r="L46" s="7">
        <f t="shared" si="11"/>
        <v>102</v>
      </c>
      <c r="M46" s="7">
        <f t="shared" si="12"/>
        <v>0.8373366522</v>
      </c>
      <c r="N46" s="7">
        <f t="shared" si="13"/>
        <v>21</v>
      </c>
      <c r="O46" s="7">
        <f t="shared" si="15"/>
        <v>0.06964979285</v>
      </c>
      <c r="P46" s="7" t="str">
        <f t="shared" si="16"/>
        <v>#N/A</v>
      </c>
      <c r="Q46" s="7">
        <f t="shared" si="17"/>
        <v>0.5519143592</v>
      </c>
      <c r="R46" s="7" t="str">
        <f t="shared" si="18"/>
        <v>#N/A</v>
      </c>
      <c r="W46" s="7">
        <f t="shared" si="22"/>
        <v>0.8963618295</v>
      </c>
      <c r="X46" s="7" t="str">
        <f t="shared" si="23"/>
        <v>#N/A</v>
      </c>
      <c r="Y46" s="7">
        <f t="shared" si="24"/>
        <v>0.1077804611</v>
      </c>
      <c r="Z46" s="7" t="str">
        <f t="shared" si="25"/>
        <v>#N/A</v>
      </c>
      <c r="AA46" s="7">
        <f t="shared" si="26"/>
        <v>0.09355957679</v>
      </c>
      <c r="AB46" s="7" t="str">
        <f t="shared" si="27"/>
        <v>#N/A</v>
      </c>
    </row>
    <row r="47" ht="15.75" customHeight="1">
      <c r="A47" s="25">
        <f t="shared" si="1"/>
        <v>0.0850419738</v>
      </c>
      <c r="B47" s="25">
        <f t="shared" si="2"/>
        <v>73</v>
      </c>
      <c r="C47" s="25">
        <f t="shared" si="3"/>
        <v>0.6374577885</v>
      </c>
      <c r="D47" s="25">
        <f t="shared" si="4"/>
        <v>60</v>
      </c>
      <c r="I47" s="7">
        <f t="shared" si="8"/>
        <v>0.2981942172</v>
      </c>
      <c r="J47" s="7">
        <f t="shared" si="9"/>
        <v>39</v>
      </c>
      <c r="K47" s="7">
        <f t="shared" si="10"/>
        <v>0.6376878081</v>
      </c>
      <c r="L47" s="7">
        <f t="shared" si="11"/>
        <v>43</v>
      </c>
      <c r="M47" s="7">
        <f t="shared" si="12"/>
        <v>0.8783279086</v>
      </c>
      <c r="N47" s="7">
        <f t="shared" si="13"/>
        <v>15</v>
      </c>
      <c r="O47" s="7">
        <f t="shared" si="15"/>
        <v>0.3227973112</v>
      </c>
      <c r="P47" s="7" t="str">
        <f t="shared" si="16"/>
        <v>#N/A</v>
      </c>
      <c r="Q47" s="7">
        <f t="shared" si="17"/>
        <v>0.3960085279</v>
      </c>
      <c r="R47" s="7" t="str">
        <f t="shared" si="18"/>
        <v>#N/A</v>
      </c>
      <c r="W47" s="7">
        <f t="shared" si="22"/>
        <v>0.6944053047</v>
      </c>
      <c r="X47" s="7" t="str">
        <f t="shared" si="23"/>
        <v>#N/A</v>
      </c>
      <c r="Y47" s="7">
        <f t="shared" si="24"/>
        <v>0.1022503697</v>
      </c>
      <c r="Z47" s="7" t="str">
        <f t="shared" si="25"/>
        <v>#N/A</v>
      </c>
      <c r="AA47" s="7">
        <f t="shared" si="26"/>
        <v>0.3542348407</v>
      </c>
      <c r="AB47" s="7" t="str">
        <f t="shared" si="27"/>
        <v>#N/A</v>
      </c>
    </row>
    <row r="48" ht="15.75" customHeight="1">
      <c r="A48" s="25">
        <f t="shared" si="1"/>
        <v>0.03929999131</v>
      </c>
      <c r="B48" s="25">
        <f t="shared" si="2"/>
        <v>75</v>
      </c>
      <c r="C48" s="25">
        <f t="shared" si="3"/>
        <v>0.1211375038</v>
      </c>
      <c r="D48" s="25">
        <f t="shared" si="4"/>
        <v>136</v>
      </c>
      <c r="I48" s="7">
        <f t="shared" si="8"/>
        <v>0.1437533402</v>
      </c>
      <c r="J48" s="7">
        <f t="shared" si="9"/>
        <v>49</v>
      </c>
      <c r="K48" s="7">
        <f t="shared" si="10"/>
        <v>0.8868826696</v>
      </c>
      <c r="L48" s="7">
        <f t="shared" si="11"/>
        <v>15</v>
      </c>
      <c r="M48" s="7">
        <f t="shared" si="12"/>
        <v>0.7556590347</v>
      </c>
      <c r="N48" s="7">
        <f t="shared" si="13"/>
        <v>32</v>
      </c>
      <c r="O48" s="7">
        <f t="shared" si="15"/>
        <v>0.2266129173</v>
      </c>
      <c r="P48" s="7" t="str">
        <f t="shared" si="16"/>
        <v>#N/A</v>
      </c>
      <c r="Q48" s="7">
        <f t="shared" si="17"/>
        <v>0.4795557486</v>
      </c>
      <c r="R48" s="7" t="str">
        <f t="shared" si="18"/>
        <v>#N/A</v>
      </c>
      <c r="W48" s="7">
        <f t="shared" si="22"/>
        <v>0.3861017803</v>
      </c>
      <c r="X48" s="7" t="str">
        <f t="shared" si="23"/>
        <v>#N/A</v>
      </c>
      <c r="Y48" s="7">
        <f t="shared" si="24"/>
        <v>0.8911813248</v>
      </c>
      <c r="Z48" s="7" t="str">
        <f t="shared" si="25"/>
        <v>#N/A</v>
      </c>
      <c r="AA48" s="7">
        <f t="shared" si="26"/>
        <v>0.2783691027</v>
      </c>
      <c r="AB48" s="7" t="str">
        <f t="shared" si="27"/>
        <v>#N/A</v>
      </c>
    </row>
    <row r="49" ht="15.75" customHeight="1">
      <c r="A49" s="25">
        <f t="shared" si="1"/>
        <v>0.6007724657</v>
      </c>
      <c r="B49" s="25">
        <f t="shared" si="2"/>
        <v>31</v>
      </c>
      <c r="C49" s="25">
        <f t="shared" si="3"/>
        <v>0.8812536978</v>
      </c>
      <c r="D49" s="25">
        <f t="shared" si="4"/>
        <v>20</v>
      </c>
      <c r="I49" s="7">
        <f t="shared" si="8"/>
        <v>0.5104674177</v>
      </c>
      <c r="J49" s="7">
        <f t="shared" si="9"/>
        <v>27</v>
      </c>
      <c r="K49" s="7">
        <f t="shared" si="10"/>
        <v>0.4873059006</v>
      </c>
      <c r="L49" s="7">
        <f t="shared" si="11"/>
        <v>59</v>
      </c>
      <c r="M49" s="7">
        <f t="shared" si="12"/>
        <v>0.6477040322</v>
      </c>
      <c r="N49" s="7">
        <f t="shared" si="13"/>
        <v>46</v>
      </c>
      <c r="O49" s="7">
        <f t="shared" si="15"/>
        <v>0.6647501766</v>
      </c>
      <c r="P49" s="7" t="str">
        <f t="shared" si="16"/>
        <v>#N/A</v>
      </c>
      <c r="Q49" s="7">
        <f t="shared" si="17"/>
        <v>0.7757774326</v>
      </c>
      <c r="R49" s="7" t="str">
        <f t="shared" si="18"/>
        <v>#N/A</v>
      </c>
      <c r="W49" s="7">
        <f t="shared" si="22"/>
        <v>0.4465993034</v>
      </c>
      <c r="X49" s="7" t="str">
        <f t="shared" si="23"/>
        <v>#N/A</v>
      </c>
      <c r="Y49" s="7">
        <f t="shared" si="24"/>
        <v>0.5098437296</v>
      </c>
      <c r="Z49" s="7" t="str">
        <f t="shared" si="25"/>
        <v>#N/A</v>
      </c>
      <c r="AA49" s="7">
        <f t="shared" si="26"/>
        <v>0.2020215651</v>
      </c>
      <c r="AB49" s="7" t="str">
        <f t="shared" si="27"/>
        <v>#N/A</v>
      </c>
    </row>
    <row r="50" ht="15.75" customHeight="1">
      <c r="A50" s="25">
        <f t="shared" si="1"/>
        <v>0.3554799309</v>
      </c>
      <c r="B50" s="25">
        <f t="shared" si="2"/>
        <v>51</v>
      </c>
      <c r="C50" s="25">
        <f t="shared" si="3"/>
        <v>0.3808613828</v>
      </c>
      <c r="D50" s="25">
        <f t="shared" si="4"/>
        <v>100</v>
      </c>
      <c r="I50" s="7">
        <f t="shared" si="8"/>
        <v>0.1476500807</v>
      </c>
      <c r="J50" s="7">
        <f t="shared" si="9"/>
        <v>48</v>
      </c>
      <c r="K50" s="7">
        <f t="shared" si="10"/>
        <v>0.9372089349</v>
      </c>
      <c r="L50" s="7">
        <f t="shared" si="11"/>
        <v>9</v>
      </c>
      <c r="M50" s="7">
        <f t="shared" si="12"/>
        <v>0.3491464389</v>
      </c>
      <c r="N50" s="7">
        <f t="shared" si="13"/>
        <v>68</v>
      </c>
      <c r="O50" s="7">
        <f t="shared" si="15"/>
        <v>0.02534746177</v>
      </c>
      <c r="P50" s="7" t="str">
        <f t="shared" si="16"/>
        <v>#N/A</v>
      </c>
      <c r="Q50" s="7">
        <f t="shared" si="17"/>
        <v>0.3179777664</v>
      </c>
      <c r="R50" s="7" t="str">
        <f t="shared" si="18"/>
        <v>#N/A</v>
      </c>
      <c r="W50" s="7">
        <f t="shared" si="22"/>
        <v>0.8734333701</v>
      </c>
      <c r="X50" s="7" t="str">
        <f t="shared" si="23"/>
        <v>#N/A</v>
      </c>
      <c r="Y50" s="7">
        <f t="shared" si="24"/>
        <v>0.6963138651</v>
      </c>
      <c r="Z50" s="7" t="str">
        <f t="shared" si="25"/>
        <v>#N/A</v>
      </c>
      <c r="AA50" s="7">
        <f t="shared" si="26"/>
        <v>0.6273532252</v>
      </c>
      <c r="AB50" s="7" t="str">
        <f t="shared" si="27"/>
        <v>#N/A</v>
      </c>
    </row>
    <row r="51" ht="15.75" customHeight="1">
      <c r="A51" s="25">
        <f t="shared" si="1"/>
        <v>0.523319369</v>
      </c>
      <c r="B51" s="25">
        <f t="shared" si="2"/>
        <v>40</v>
      </c>
      <c r="C51" s="25">
        <f t="shared" si="3"/>
        <v>0.4573951608</v>
      </c>
      <c r="D51" s="25">
        <f t="shared" si="4"/>
        <v>88</v>
      </c>
      <c r="I51" s="7">
        <f t="shared" si="8"/>
        <v>0.9053544364</v>
      </c>
      <c r="J51" s="7">
        <f t="shared" si="9"/>
        <v>2</v>
      </c>
      <c r="K51" s="7">
        <f t="shared" si="10"/>
        <v>0.4186694149</v>
      </c>
      <c r="L51" s="7">
        <f t="shared" si="11"/>
        <v>66</v>
      </c>
      <c r="M51" s="7">
        <f t="shared" si="12"/>
        <v>0.2315503413</v>
      </c>
      <c r="N51" s="7">
        <f t="shared" si="13"/>
        <v>85</v>
      </c>
      <c r="O51" s="7">
        <f t="shared" si="15"/>
        <v>0.7182933415</v>
      </c>
      <c r="P51" s="7" t="str">
        <f t="shared" si="16"/>
        <v>#N/A</v>
      </c>
      <c r="Q51" s="7">
        <f t="shared" si="17"/>
        <v>0.3698992411</v>
      </c>
      <c r="R51" s="7" t="str">
        <f t="shared" si="18"/>
        <v>#N/A</v>
      </c>
      <c r="W51" s="7">
        <f t="shared" si="22"/>
        <v>0.04504748912</v>
      </c>
      <c r="X51" s="7" t="str">
        <f t="shared" si="23"/>
        <v>#N/A</v>
      </c>
      <c r="Y51" s="7">
        <f t="shared" si="24"/>
        <v>0.1643328922</v>
      </c>
      <c r="Z51" s="7" t="str">
        <f t="shared" si="25"/>
        <v>#N/A</v>
      </c>
      <c r="AA51" s="7">
        <f t="shared" si="26"/>
        <v>0.3315241659</v>
      </c>
      <c r="AB51" s="7" t="str">
        <f t="shared" si="27"/>
        <v>#N/A</v>
      </c>
    </row>
    <row r="52" ht="15.75" customHeight="1">
      <c r="A52" s="25">
        <f t="shared" si="1"/>
        <v>0.465737029</v>
      </c>
      <c r="B52" s="25">
        <f t="shared" si="2"/>
        <v>43</v>
      </c>
      <c r="C52" s="25">
        <f t="shared" si="3"/>
        <v>0.8188283548</v>
      </c>
      <c r="D52" s="25">
        <f t="shared" si="4"/>
        <v>32</v>
      </c>
      <c r="I52" s="7">
        <f t="shared" si="8"/>
        <v>0.447756751</v>
      </c>
      <c r="J52" s="7">
        <f t="shared" si="9"/>
        <v>31</v>
      </c>
      <c r="K52" s="7">
        <f t="shared" si="10"/>
        <v>0.7461023121</v>
      </c>
      <c r="L52" s="7">
        <f t="shared" si="11"/>
        <v>30</v>
      </c>
      <c r="M52" s="7">
        <f t="shared" si="12"/>
        <v>0.2674132019</v>
      </c>
      <c r="N52" s="7">
        <f t="shared" si="13"/>
        <v>77</v>
      </c>
      <c r="O52" s="7">
        <f t="shared" si="15"/>
        <v>0.4349650202</v>
      </c>
      <c r="P52" s="7" t="str">
        <f t="shared" si="16"/>
        <v>#N/A</v>
      </c>
      <c r="Q52" s="7">
        <f t="shared" si="17"/>
        <v>0.834761302</v>
      </c>
      <c r="R52" s="7" t="str">
        <f t="shared" si="18"/>
        <v>#N/A</v>
      </c>
      <c r="W52" s="7">
        <f t="shared" si="22"/>
        <v>0.5134559807</v>
      </c>
      <c r="X52" s="7" t="str">
        <f t="shared" si="23"/>
        <v>#N/A</v>
      </c>
      <c r="Y52" s="7">
        <f t="shared" si="24"/>
        <v>0.3051548303</v>
      </c>
      <c r="Z52" s="7" t="str">
        <f t="shared" si="25"/>
        <v>#N/A</v>
      </c>
      <c r="AA52" s="7">
        <f t="shared" si="26"/>
        <v>0.7448549005</v>
      </c>
      <c r="AB52" s="7" t="str">
        <f t="shared" si="27"/>
        <v>#N/A</v>
      </c>
    </row>
    <row r="53" ht="15.75" customHeight="1">
      <c r="A53" s="25">
        <f t="shared" si="1"/>
        <v>0.9721851988</v>
      </c>
      <c r="B53" s="25">
        <f t="shared" si="2"/>
        <v>1</v>
      </c>
      <c r="C53" s="25">
        <f t="shared" si="3"/>
        <v>0.1071194923</v>
      </c>
      <c r="D53" s="25">
        <f t="shared" si="4"/>
        <v>140</v>
      </c>
      <c r="I53" s="7">
        <f t="shared" si="8"/>
        <v>0.5814522643</v>
      </c>
      <c r="J53" s="7">
        <f t="shared" si="9"/>
        <v>20</v>
      </c>
      <c r="K53" s="7">
        <f t="shared" si="10"/>
        <v>0.1857112289</v>
      </c>
      <c r="L53" s="7">
        <f t="shared" si="11"/>
        <v>98</v>
      </c>
      <c r="M53" s="7">
        <f t="shared" si="12"/>
        <v>0.23503931</v>
      </c>
      <c r="N53" s="7">
        <f t="shared" si="13"/>
        <v>84</v>
      </c>
      <c r="O53" s="7">
        <f t="shared" si="15"/>
        <v>0.4322386911</v>
      </c>
      <c r="P53" s="7" t="str">
        <f t="shared" si="16"/>
        <v>#N/A</v>
      </c>
      <c r="Q53" s="7">
        <f t="shared" si="17"/>
        <v>0.1505853978</v>
      </c>
      <c r="R53" s="7" t="str">
        <f t="shared" si="18"/>
        <v>#N/A</v>
      </c>
      <c r="W53" s="7">
        <f t="shared" si="22"/>
        <v>0.760349827</v>
      </c>
      <c r="X53" s="7" t="str">
        <f t="shared" si="23"/>
        <v>#N/A</v>
      </c>
      <c r="Y53" s="7">
        <f t="shared" si="24"/>
        <v>0.1348229986</v>
      </c>
      <c r="Z53" s="7" t="str">
        <f t="shared" si="25"/>
        <v>#N/A</v>
      </c>
      <c r="AA53" s="7">
        <f t="shared" si="26"/>
        <v>0.9239011832</v>
      </c>
      <c r="AB53" s="7" t="str">
        <f t="shared" si="27"/>
        <v>#N/A</v>
      </c>
    </row>
    <row r="54" ht="15.75" customHeight="1">
      <c r="A54" s="25">
        <f t="shared" si="1"/>
        <v>0.2846126465</v>
      </c>
      <c r="B54" s="25">
        <f t="shared" si="2"/>
        <v>58</v>
      </c>
      <c r="C54" s="25">
        <f t="shared" si="3"/>
        <v>0.998537522</v>
      </c>
      <c r="D54" s="25">
        <f t="shared" si="4"/>
        <v>1</v>
      </c>
      <c r="I54" s="7">
        <f t="shared" si="8"/>
        <v>0.1187384658</v>
      </c>
      <c r="J54" s="7">
        <f t="shared" si="9"/>
        <v>51</v>
      </c>
      <c r="K54" s="7">
        <f t="shared" si="10"/>
        <v>0.3284373977</v>
      </c>
      <c r="L54" s="7">
        <f t="shared" si="11"/>
        <v>80</v>
      </c>
      <c r="M54" s="7">
        <f t="shared" si="12"/>
        <v>0.714005133</v>
      </c>
      <c r="N54" s="7">
        <f t="shared" si="13"/>
        <v>41</v>
      </c>
      <c r="O54" s="7">
        <f t="shared" si="15"/>
        <v>0.2679798506</v>
      </c>
      <c r="P54" s="7" t="str">
        <f t="shared" si="16"/>
        <v>#N/A</v>
      </c>
      <c r="Q54" s="7">
        <f t="shared" si="17"/>
        <v>0.4688477957</v>
      </c>
      <c r="R54" s="7" t="str">
        <f t="shared" si="18"/>
        <v>#N/A</v>
      </c>
      <c r="W54" s="7">
        <f t="shared" si="22"/>
        <v>0.0611253017</v>
      </c>
      <c r="X54" s="7" t="str">
        <f t="shared" si="23"/>
        <v>#N/A</v>
      </c>
      <c r="Y54" s="7">
        <f t="shared" si="24"/>
        <v>0.981468088</v>
      </c>
      <c r="Z54" s="7" t="str">
        <f t="shared" si="25"/>
        <v>#N/A</v>
      </c>
      <c r="AA54" s="7">
        <f t="shared" si="26"/>
        <v>0.2825482855</v>
      </c>
      <c r="AB54" s="7" t="str">
        <f t="shared" si="27"/>
        <v>#N/A</v>
      </c>
    </row>
    <row r="55" ht="15.75" customHeight="1">
      <c r="A55" s="25">
        <f t="shared" si="1"/>
        <v>0.006253297647</v>
      </c>
      <c r="B55" s="25">
        <f t="shared" si="2"/>
        <v>80</v>
      </c>
      <c r="C55" s="25">
        <f t="shared" si="3"/>
        <v>0.04824796256</v>
      </c>
      <c r="D55" s="25">
        <f t="shared" si="4"/>
        <v>155</v>
      </c>
      <c r="I55" s="7">
        <f t="shared" si="8"/>
        <v>0.6480690221</v>
      </c>
      <c r="J55" s="7">
        <f t="shared" si="9"/>
        <v>14</v>
      </c>
      <c r="K55" s="7">
        <f t="shared" si="10"/>
        <v>0.02776837868</v>
      </c>
      <c r="L55" s="7">
        <f t="shared" si="11"/>
        <v>116</v>
      </c>
      <c r="M55" s="7">
        <f t="shared" si="12"/>
        <v>0.6579591198</v>
      </c>
      <c r="N55" s="7">
        <f t="shared" si="13"/>
        <v>44</v>
      </c>
      <c r="O55" s="7">
        <f t="shared" si="15"/>
        <v>0.02555356103</v>
      </c>
      <c r="P55" s="7" t="str">
        <f t="shared" si="16"/>
        <v>#N/A</v>
      </c>
      <c r="Q55" s="7">
        <f t="shared" si="17"/>
        <v>0.2582894163</v>
      </c>
      <c r="R55" s="7" t="str">
        <f t="shared" si="18"/>
        <v>#N/A</v>
      </c>
      <c r="W55" s="7">
        <f t="shared" si="22"/>
        <v>0.6485759937</v>
      </c>
      <c r="X55" s="7" t="str">
        <f t="shared" si="23"/>
        <v>#N/A</v>
      </c>
      <c r="Y55" s="7">
        <f t="shared" si="24"/>
        <v>0.7813992646</v>
      </c>
      <c r="Z55" s="7" t="str">
        <f t="shared" si="25"/>
        <v>#N/A</v>
      </c>
      <c r="AA55" s="7">
        <f t="shared" si="26"/>
        <v>0.1614055592</v>
      </c>
      <c r="AB55" s="7" t="str">
        <f t="shared" si="27"/>
        <v>#N/A</v>
      </c>
    </row>
    <row r="56" ht="15.75" customHeight="1">
      <c r="A56" s="25">
        <f t="shared" si="1"/>
        <v>0.0305293919</v>
      </c>
      <c r="B56" s="25">
        <f t="shared" si="2"/>
        <v>78</v>
      </c>
      <c r="C56" s="25">
        <f t="shared" si="3"/>
        <v>0.2928755625</v>
      </c>
      <c r="D56" s="25">
        <f t="shared" si="4"/>
        <v>116</v>
      </c>
      <c r="I56" s="7">
        <f t="shared" si="8"/>
        <v>0.04458603524</v>
      </c>
      <c r="J56" s="7">
        <f t="shared" si="9"/>
        <v>56</v>
      </c>
      <c r="K56" s="7">
        <f t="shared" si="10"/>
        <v>0.7721673651</v>
      </c>
      <c r="L56" s="7">
        <f t="shared" si="11"/>
        <v>24</v>
      </c>
      <c r="M56" s="7">
        <f t="shared" si="12"/>
        <v>0.553528629</v>
      </c>
      <c r="N56" s="7">
        <f t="shared" si="13"/>
        <v>52</v>
      </c>
      <c r="O56" s="7">
        <f t="shared" si="15"/>
        <v>0.4412718657</v>
      </c>
      <c r="P56" s="7" t="str">
        <f t="shared" si="16"/>
        <v>#N/A</v>
      </c>
      <c r="Q56" s="7">
        <f t="shared" si="17"/>
        <v>0.1800376972</v>
      </c>
      <c r="R56" s="7" t="str">
        <f t="shared" si="18"/>
        <v>#N/A</v>
      </c>
      <c r="W56" s="7">
        <f t="shared" si="22"/>
        <v>0.1607543474</v>
      </c>
      <c r="X56" s="7" t="str">
        <f t="shared" si="23"/>
        <v>#N/A</v>
      </c>
      <c r="Y56" s="7">
        <f t="shared" si="24"/>
        <v>0.8797862193</v>
      </c>
      <c r="Z56" s="7" t="str">
        <f t="shared" si="25"/>
        <v>#N/A</v>
      </c>
      <c r="AA56" s="7">
        <f t="shared" si="26"/>
        <v>0.4295031906</v>
      </c>
      <c r="AB56" s="7" t="str">
        <f t="shared" si="27"/>
        <v>#N/A</v>
      </c>
    </row>
    <row r="57" ht="15.75" customHeight="1">
      <c r="A57" s="25">
        <f t="shared" si="1"/>
        <v>0.1229513145</v>
      </c>
      <c r="B57" s="25">
        <f t="shared" si="2"/>
        <v>71</v>
      </c>
      <c r="C57" s="25">
        <f t="shared" si="3"/>
        <v>0.3458488574</v>
      </c>
      <c r="D57" s="25">
        <f t="shared" si="4"/>
        <v>108</v>
      </c>
      <c r="I57" s="7">
        <f t="shared" si="8"/>
        <v>0.7287845721</v>
      </c>
      <c r="J57" s="7">
        <f t="shared" si="9"/>
        <v>8</v>
      </c>
      <c r="K57" s="7">
        <f t="shared" si="10"/>
        <v>0.3384626526</v>
      </c>
      <c r="L57" s="7">
        <f t="shared" si="11"/>
        <v>77</v>
      </c>
      <c r="M57" s="7">
        <f t="shared" si="12"/>
        <v>0.2279624343</v>
      </c>
      <c r="N57" s="7">
        <f t="shared" si="13"/>
        <v>86</v>
      </c>
      <c r="O57" s="7">
        <f t="shared" si="15"/>
        <v>0.9906502167</v>
      </c>
      <c r="P57" s="7" t="str">
        <f t="shared" si="16"/>
        <v>#N/A</v>
      </c>
      <c r="Q57" s="7">
        <f t="shared" si="17"/>
        <v>0.7025475286</v>
      </c>
      <c r="R57" s="7" t="str">
        <f t="shared" si="18"/>
        <v>#N/A</v>
      </c>
      <c r="W57" s="7">
        <f t="shared" si="22"/>
        <v>0.6710327527</v>
      </c>
      <c r="X57" s="7" t="str">
        <f t="shared" si="23"/>
        <v>#N/A</v>
      </c>
      <c r="Y57" s="7">
        <f t="shared" si="24"/>
        <v>0.8534578893</v>
      </c>
      <c r="Z57" s="7" t="str">
        <f t="shared" si="25"/>
        <v>#N/A</v>
      </c>
      <c r="AA57" s="7">
        <f t="shared" si="26"/>
        <v>0.9741718673</v>
      </c>
      <c r="AB57" s="7" t="str">
        <f t="shared" si="27"/>
        <v>#N/A</v>
      </c>
    </row>
    <row r="58" ht="15.75" customHeight="1">
      <c r="A58" s="25">
        <f t="shared" si="1"/>
        <v>0.5649028533</v>
      </c>
      <c r="B58" s="25">
        <f t="shared" si="2"/>
        <v>35</v>
      </c>
      <c r="C58" s="25">
        <f t="shared" si="3"/>
        <v>0.5198160659</v>
      </c>
      <c r="D58" s="25">
        <f t="shared" si="4"/>
        <v>78</v>
      </c>
      <c r="I58" s="7">
        <f t="shared" si="8"/>
        <v>0.5382455372</v>
      </c>
      <c r="J58" s="7">
        <f t="shared" si="9"/>
        <v>22</v>
      </c>
      <c r="K58" s="7">
        <f t="shared" si="10"/>
        <v>0.7485953706</v>
      </c>
      <c r="L58" s="7">
        <f t="shared" si="11"/>
        <v>29</v>
      </c>
      <c r="M58" s="7">
        <f t="shared" si="12"/>
        <v>0.9878899297</v>
      </c>
      <c r="N58" s="7">
        <f t="shared" si="13"/>
        <v>2</v>
      </c>
      <c r="O58" s="7">
        <f t="shared" si="15"/>
        <v>0.1388086651</v>
      </c>
      <c r="P58" s="7" t="str">
        <f t="shared" si="16"/>
        <v>#N/A</v>
      </c>
      <c r="Q58" s="7">
        <f t="shared" si="17"/>
        <v>0.8354774632</v>
      </c>
      <c r="R58" s="7" t="str">
        <f t="shared" si="18"/>
        <v>#N/A</v>
      </c>
      <c r="W58" s="7">
        <f t="shared" si="22"/>
        <v>0.4852540607</v>
      </c>
      <c r="X58" s="7" t="str">
        <f t="shared" si="23"/>
        <v>#N/A</v>
      </c>
      <c r="Y58" s="7">
        <f t="shared" si="24"/>
        <v>0.119242468</v>
      </c>
      <c r="Z58" s="7" t="str">
        <f t="shared" si="25"/>
        <v>#N/A</v>
      </c>
      <c r="AA58" s="7">
        <f t="shared" si="26"/>
        <v>0.1836176299</v>
      </c>
      <c r="AB58" s="7" t="str">
        <f t="shared" si="27"/>
        <v>#N/A</v>
      </c>
    </row>
    <row r="59" ht="15.75" customHeight="1">
      <c r="A59" s="25">
        <f t="shared" si="1"/>
        <v>0.1688889118</v>
      </c>
      <c r="B59" s="25">
        <f t="shared" si="2"/>
        <v>68</v>
      </c>
      <c r="C59" s="25">
        <f t="shared" si="3"/>
        <v>0.9787928581</v>
      </c>
      <c r="D59" s="25">
        <f t="shared" si="4"/>
        <v>3</v>
      </c>
      <c r="I59" s="7">
        <f t="shared" si="8"/>
        <v>0.5148072974</v>
      </c>
      <c r="J59" s="7">
        <f t="shared" si="9"/>
        <v>26</v>
      </c>
      <c r="K59" s="7">
        <f t="shared" si="10"/>
        <v>0.5915800735</v>
      </c>
      <c r="L59" s="7">
        <f t="shared" si="11"/>
        <v>48</v>
      </c>
      <c r="M59" s="7">
        <f t="shared" si="12"/>
        <v>0.2558504431</v>
      </c>
      <c r="N59" s="7">
        <f t="shared" si="13"/>
        <v>81</v>
      </c>
      <c r="O59" s="7">
        <f t="shared" si="15"/>
        <v>0.378593321</v>
      </c>
      <c r="P59" s="7" t="str">
        <f t="shared" si="16"/>
        <v>#N/A</v>
      </c>
      <c r="Q59" s="7">
        <f t="shared" si="17"/>
        <v>0.2303172971</v>
      </c>
      <c r="R59" s="7" t="str">
        <f t="shared" si="18"/>
        <v>#N/A</v>
      </c>
      <c r="W59" s="7">
        <f t="shared" si="22"/>
        <v>0.463725994</v>
      </c>
      <c r="X59" s="7" t="str">
        <f t="shared" si="23"/>
        <v>#N/A</v>
      </c>
      <c r="Y59" s="7">
        <f t="shared" si="24"/>
        <v>0.5077033183</v>
      </c>
      <c r="Z59" s="7" t="str">
        <f t="shared" si="25"/>
        <v>#N/A</v>
      </c>
      <c r="AA59" s="7">
        <f t="shared" si="26"/>
        <v>0.2259234256</v>
      </c>
      <c r="AB59" s="7" t="str">
        <f t="shared" si="27"/>
        <v>#N/A</v>
      </c>
    </row>
    <row r="60" ht="15.75" customHeight="1">
      <c r="A60" s="25">
        <f t="shared" si="1"/>
        <v>0.9032251209</v>
      </c>
      <c r="B60" s="25">
        <f t="shared" si="2"/>
        <v>5</v>
      </c>
      <c r="C60" s="25">
        <f t="shared" si="3"/>
        <v>0.7243432354</v>
      </c>
      <c r="D60" s="25">
        <f t="shared" si="4"/>
        <v>46</v>
      </c>
      <c r="I60" s="7">
        <f t="shared" si="8"/>
        <v>0.2622914496</v>
      </c>
      <c r="J60" s="7">
        <f t="shared" si="9"/>
        <v>43</v>
      </c>
      <c r="K60" s="7">
        <f t="shared" si="10"/>
        <v>0.5181773345</v>
      </c>
      <c r="L60" s="7">
        <f t="shared" si="11"/>
        <v>58</v>
      </c>
      <c r="M60" s="7">
        <f t="shared" si="12"/>
        <v>0.05055932923</v>
      </c>
      <c r="N60" s="7">
        <f t="shared" si="13"/>
        <v>99</v>
      </c>
      <c r="O60" s="7">
        <f t="shared" si="15"/>
        <v>0.1300752796</v>
      </c>
      <c r="P60" s="7" t="str">
        <f t="shared" si="16"/>
        <v>#N/A</v>
      </c>
      <c r="Q60" s="7">
        <f t="shared" si="17"/>
        <v>0.822721389</v>
      </c>
      <c r="R60" s="7" t="str">
        <f t="shared" si="18"/>
        <v>#N/A</v>
      </c>
      <c r="W60" s="7">
        <f t="shared" si="22"/>
        <v>0.1551711394</v>
      </c>
      <c r="X60" s="7" t="str">
        <f t="shared" si="23"/>
        <v>#N/A</v>
      </c>
      <c r="Y60" s="7">
        <f t="shared" si="24"/>
        <v>0.6109030047</v>
      </c>
      <c r="Z60" s="7" t="str">
        <f t="shared" si="25"/>
        <v>#N/A</v>
      </c>
      <c r="AA60" s="7">
        <f t="shared" si="26"/>
        <v>0.1890136207</v>
      </c>
      <c r="AB60" s="7" t="str">
        <f t="shared" si="27"/>
        <v>#N/A</v>
      </c>
    </row>
    <row r="61" ht="15.75" customHeight="1">
      <c r="A61" s="25">
        <f t="shared" si="1"/>
        <v>0.8988085865</v>
      </c>
      <c r="B61" s="25">
        <f t="shared" si="2"/>
        <v>6</v>
      </c>
      <c r="C61" s="25">
        <f t="shared" si="3"/>
        <v>0.9380694759</v>
      </c>
      <c r="D61" s="25">
        <f t="shared" si="4"/>
        <v>11</v>
      </c>
      <c r="K61" s="7">
        <f t="shared" si="10"/>
        <v>0.2020269785</v>
      </c>
      <c r="L61" s="7">
        <f t="shared" si="11"/>
        <v>95</v>
      </c>
      <c r="M61" s="7">
        <f t="shared" si="12"/>
        <v>0.8712530105</v>
      </c>
      <c r="N61" s="7">
        <f t="shared" si="13"/>
        <v>16</v>
      </c>
      <c r="O61" s="7">
        <f t="shared" si="15"/>
        <v>0.6388452765</v>
      </c>
      <c r="P61" s="7" t="str">
        <f t="shared" si="16"/>
        <v>#N/A</v>
      </c>
      <c r="Q61" s="7">
        <f t="shared" si="17"/>
        <v>0.6108441555</v>
      </c>
      <c r="R61" s="7" t="str">
        <f t="shared" si="18"/>
        <v>#N/A</v>
      </c>
      <c r="W61" s="7">
        <f t="shared" si="22"/>
        <v>0.3604586274</v>
      </c>
      <c r="X61" s="7" t="str">
        <f t="shared" si="23"/>
        <v>#N/A</v>
      </c>
      <c r="Y61" s="7">
        <f t="shared" si="24"/>
        <v>0.998029451</v>
      </c>
      <c r="Z61" s="7" t="str">
        <f t="shared" si="25"/>
        <v>#N/A</v>
      </c>
      <c r="AA61" s="7">
        <f t="shared" si="26"/>
        <v>0.7862145683</v>
      </c>
      <c r="AB61" s="7" t="str">
        <f t="shared" si="27"/>
        <v>#N/A</v>
      </c>
    </row>
    <row r="62" ht="15.75" customHeight="1">
      <c r="A62" s="25">
        <f t="shared" si="1"/>
        <v>0.5754749661</v>
      </c>
      <c r="B62" s="25">
        <f t="shared" si="2"/>
        <v>34</v>
      </c>
      <c r="C62" s="25">
        <f t="shared" si="3"/>
        <v>0.6976820312</v>
      </c>
      <c r="D62" s="25">
        <f t="shared" si="4"/>
        <v>48</v>
      </c>
      <c r="K62" s="7">
        <f t="shared" si="10"/>
        <v>0.009556088845</v>
      </c>
      <c r="L62" s="7">
        <f t="shared" si="11"/>
        <v>118</v>
      </c>
      <c r="M62" s="7">
        <f t="shared" si="12"/>
        <v>0.9496701421</v>
      </c>
      <c r="N62" s="7">
        <f t="shared" si="13"/>
        <v>6</v>
      </c>
      <c r="O62" s="7">
        <f t="shared" si="15"/>
        <v>0.2751412565</v>
      </c>
      <c r="P62" s="7" t="str">
        <f t="shared" si="16"/>
        <v>#N/A</v>
      </c>
      <c r="Q62" s="7">
        <f t="shared" si="17"/>
        <v>0.05271452057</v>
      </c>
      <c r="R62" s="7" t="str">
        <f t="shared" si="18"/>
        <v>#N/A</v>
      </c>
      <c r="Y62" s="7">
        <f t="shared" si="24"/>
        <v>0.4508548764</v>
      </c>
      <c r="Z62" s="7" t="str">
        <f t="shared" si="25"/>
        <v>#N/A</v>
      </c>
      <c r="AA62" s="7">
        <f t="shared" si="26"/>
        <v>0.4408270991</v>
      </c>
      <c r="AB62" s="7" t="str">
        <f t="shared" si="27"/>
        <v>#N/A</v>
      </c>
    </row>
    <row r="63" ht="15.75" customHeight="1">
      <c r="A63" s="25">
        <f t="shared" si="1"/>
        <v>0.8340614027</v>
      </c>
      <c r="B63" s="25">
        <f t="shared" si="2"/>
        <v>11</v>
      </c>
      <c r="C63" s="25">
        <f t="shared" si="3"/>
        <v>0.09001535836</v>
      </c>
      <c r="D63" s="25">
        <f t="shared" si="4"/>
        <v>144</v>
      </c>
      <c r="K63" s="7">
        <f t="shared" si="10"/>
        <v>0.392095708</v>
      </c>
      <c r="L63" s="7">
        <f t="shared" si="11"/>
        <v>70</v>
      </c>
      <c r="M63" s="7">
        <f t="shared" si="12"/>
        <v>0.2463974054</v>
      </c>
      <c r="N63" s="7">
        <f t="shared" si="13"/>
        <v>82</v>
      </c>
      <c r="O63" s="7">
        <f t="shared" si="15"/>
        <v>0.9414763344</v>
      </c>
      <c r="P63" s="7" t="str">
        <f t="shared" si="16"/>
        <v>#N/A</v>
      </c>
      <c r="Q63" s="7">
        <f t="shared" si="17"/>
        <v>0.1530136763</v>
      </c>
      <c r="R63" s="7" t="str">
        <f t="shared" si="18"/>
        <v>#N/A</v>
      </c>
      <c r="Y63" s="7">
        <f t="shared" si="24"/>
        <v>0.0741407103</v>
      </c>
      <c r="Z63" s="7" t="str">
        <f t="shared" si="25"/>
        <v>#N/A</v>
      </c>
      <c r="AA63" s="7">
        <f t="shared" si="26"/>
        <v>0.9741011708</v>
      </c>
      <c r="AB63" s="7" t="str">
        <f t="shared" si="27"/>
        <v>#N/A</v>
      </c>
    </row>
    <row r="64" ht="15.75" customHeight="1">
      <c r="A64" s="25">
        <f t="shared" si="1"/>
        <v>0.8132320435</v>
      </c>
      <c r="B64" s="25">
        <f t="shared" si="2"/>
        <v>14</v>
      </c>
      <c r="C64" s="25">
        <f t="shared" si="3"/>
        <v>0.5805046798</v>
      </c>
      <c r="D64" s="25">
        <f t="shared" si="4"/>
        <v>72</v>
      </c>
      <c r="K64" s="7">
        <f t="shared" si="10"/>
        <v>0.6417852644</v>
      </c>
      <c r="L64" s="7">
        <f t="shared" si="11"/>
        <v>39</v>
      </c>
      <c r="M64" s="7">
        <f t="shared" si="12"/>
        <v>0.2616823333</v>
      </c>
      <c r="N64" s="7">
        <f t="shared" si="13"/>
        <v>79</v>
      </c>
      <c r="O64" s="7">
        <f t="shared" si="15"/>
        <v>0.6425014449</v>
      </c>
      <c r="P64" s="7" t="str">
        <f t="shared" si="16"/>
        <v>#N/A</v>
      </c>
      <c r="Q64" s="7">
        <f t="shared" si="17"/>
        <v>0.3814628893</v>
      </c>
      <c r="R64" s="7" t="str">
        <f t="shared" si="18"/>
        <v>#N/A</v>
      </c>
      <c r="Y64" s="7">
        <f t="shared" si="24"/>
        <v>0.1063028401</v>
      </c>
      <c r="Z64" s="7" t="str">
        <f t="shared" si="25"/>
        <v>#N/A</v>
      </c>
      <c r="AA64" s="7">
        <f t="shared" si="26"/>
        <v>0.8388175432</v>
      </c>
      <c r="AB64" s="7" t="str">
        <f t="shared" si="27"/>
        <v>#N/A</v>
      </c>
    </row>
    <row r="65" ht="15.75" customHeight="1">
      <c r="A65" s="25">
        <f t="shared" si="1"/>
        <v>0.6307819987</v>
      </c>
      <c r="B65" s="25">
        <f t="shared" si="2"/>
        <v>26</v>
      </c>
      <c r="C65" s="25">
        <f t="shared" si="3"/>
        <v>0.1810418322</v>
      </c>
      <c r="D65" s="25">
        <f t="shared" si="4"/>
        <v>131</v>
      </c>
      <c r="K65" s="7">
        <f t="shared" si="10"/>
        <v>0.002050092789</v>
      </c>
      <c r="L65" s="7">
        <f t="shared" si="11"/>
        <v>120</v>
      </c>
      <c r="M65" s="7">
        <f t="shared" si="12"/>
        <v>0.9189588063</v>
      </c>
      <c r="N65" s="7">
        <f t="shared" si="13"/>
        <v>10</v>
      </c>
      <c r="O65" s="7">
        <f t="shared" si="15"/>
        <v>0.1349599981</v>
      </c>
      <c r="P65" s="7" t="str">
        <f t="shared" si="16"/>
        <v>#N/A</v>
      </c>
      <c r="Q65" s="7">
        <f t="shared" si="17"/>
        <v>0.6188996243</v>
      </c>
      <c r="R65" s="7" t="str">
        <f t="shared" si="18"/>
        <v>#N/A</v>
      </c>
      <c r="Y65" s="7">
        <f t="shared" si="24"/>
        <v>0.02892433047</v>
      </c>
      <c r="Z65" s="7" t="str">
        <f t="shared" si="25"/>
        <v>#N/A</v>
      </c>
      <c r="AA65" s="7">
        <f t="shared" si="26"/>
        <v>0.04191268418</v>
      </c>
      <c r="AB65" s="7" t="str">
        <f t="shared" si="27"/>
        <v>#N/A</v>
      </c>
    </row>
    <row r="66" ht="15.75" customHeight="1">
      <c r="A66" s="25">
        <f t="shared" si="1"/>
        <v>0.1793341043</v>
      </c>
      <c r="B66" s="25">
        <f t="shared" si="2"/>
        <v>67</v>
      </c>
      <c r="C66" s="25">
        <f t="shared" si="3"/>
        <v>0.6548754939</v>
      </c>
      <c r="D66" s="25">
        <f t="shared" si="4"/>
        <v>56</v>
      </c>
      <c r="K66" s="7">
        <f t="shared" si="10"/>
        <v>0.8536808688</v>
      </c>
      <c r="L66" s="7">
        <f t="shared" si="11"/>
        <v>18</v>
      </c>
      <c r="M66" s="7">
        <f t="shared" si="12"/>
        <v>0.2710769132</v>
      </c>
      <c r="N66" s="7">
        <f t="shared" si="13"/>
        <v>76</v>
      </c>
      <c r="O66" s="7">
        <f t="shared" si="15"/>
        <v>0.8052347992</v>
      </c>
      <c r="P66" s="7" t="str">
        <f t="shared" si="16"/>
        <v>#N/A</v>
      </c>
      <c r="Q66" s="7">
        <f t="shared" si="17"/>
        <v>0.2372187933</v>
      </c>
      <c r="R66" s="7" t="str">
        <f t="shared" si="18"/>
        <v>#N/A</v>
      </c>
      <c r="Y66" s="7">
        <f t="shared" si="24"/>
        <v>0.8354243565</v>
      </c>
      <c r="Z66" s="7" t="str">
        <f t="shared" si="25"/>
        <v>#N/A</v>
      </c>
      <c r="AA66" s="7">
        <f t="shared" si="26"/>
        <v>0.186522599</v>
      </c>
      <c r="AB66" s="7" t="str">
        <f t="shared" si="27"/>
        <v>#N/A</v>
      </c>
    </row>
    <row r="67" ht="15.75" customHeight="1">
      <c r="A67" s="25">
        <f t="shared" si="1"/>
        <v>0.6693452037</v>
      </c>
      <c r="B67" s="25">
        <f t="shared" si="2"/>
        <v>24</v>
      </c>
      <c r="C67" s="25">
        <f t="shared" si="3"/>
        <v>0.672891195</v>
      </c>
      <c r="D67" s="25">
        <f t="shared" si="4"/>
        <v>53</v>
      </c>
      <c r="K67" s="7">
        <f t="shared" si="10"/>
        <v>0.6397958382</v>
      </c>
      <c r="L67" s="7">
        <f t="shared" si="11"/>
        <v>41</v>
      </c>
      <c r="M67" s="7">
        <f t="shared" si="12"/>
        <v>0.1301034264</v>
      </c>
      <c r="N67" s="7">
        <f t="shared" si="13"/>
        <v>92</v>
      </c>
      <c r="O67" s="7">
        <f t="shared" si="15"/>
        <v>0.0152912242</v>
      </c>
      <c r="P67" s="7" t="str">
        <f t="shared" si="16"/>
        <v>#N/A</v>
      </c>
      <c r="Q67" s="7">
        <f t="shared" si="17"/>
        <v>0.9283313114</v>
      </c>
      <c r="R67" s="7" t="str">
        <f t="shared" si="18"/>
        <v>#N/A</v>
      </c>
      <c r="Y67" s="7">
        <f t="shared" si="24"/>
        <v>0.2543197277</v>
      </c>
      <c r="Z67" s="7" t="str">
        <f t="shared" si="25"/>
        <v>#N/A</v>
      </c>
      <c r="AA67" s="7">
        <f t="shared" si="26"/>
        <v>0.6641640743</v>
      </c>
      <c r="AB67" s="7" t="str">
        <f t="shared" si="27"/>
        <v>#N/A</v>
      </c>
    </row>
    <row r="68" ht="15.75" customHeight="1">
      <c r="A68" s="25">
        <f t="shared" si="1"/>
        <v>0.5072329041</v>
      </c>
      <c r="B68" s="25">
        <f t="shared" si="2"/>
        <v>41</v>
      </c>
      <c r="C68" s="25">
        <f t="shared" si="3"/>
        <v>0.089702216</v>
      </c>
      <c r="D68" s="25">
        <f t="shared" si="4"/>
        <v>145</v>
      </c>
      <c r="K68" s="7">
        <f t="shared" si="10"/>
        <v>0.8868534058</v>
      </c>
      <c r="L68" s="7">
        <f t="shared" si="11"/>
        <v>16</v>
      </c>
      <c r="M68" s="7">
        <f t="shared" si="12"/>
        <v>0.3925109309</v>
      </c>
      <c r="N68" s="7">
        <f t="shared" si="13"/>
        <v>63</v>
      </c>
      <c r="O68" s="7">
        <f t="shared" si="15"/>
        <v>0.6562369662</v>
      </c>
      <c r="P68" s="7" t="str">
        <f t="shared" si="16"/>
        <v>#N/A</v>
      </c>
      <c r="Q68" s="7">
        <f t="shared" si="17"/>
        <v>0.1573094439</v>
      </c>
      <c r="R68" s="7" t="str">
        <f t="shared" si="18"/>
        <v>#N/A</v>
      </c>
      <c r="Y68" s="7">
        <f t="shared" si="24"/>
        <v>0.6839018858</v>
      </c>
      <c r="Z68" s="7" t="str">
        <f t="shared" si="25"/>
        <v>#N/A</v>
      </c>
      <c r="AA68" s="7">
        <f t="shared" si="26"/>
        <v>0.7704583189</v>
      </c>
      <c r="AB68" s="7" t="str">
        <f t="shared" si="27"/>
        <v>#N/A</v>
      </c>
    </row>
    <row r="69" ht="15.75" customHeight="1">
      <c r="A69" s="25">
        <f t="shared" si="1"/>
        <v>0.3340151864</v>
      </c>
      <c r="B69" s="25">
        <f t="shared" si="2"/>
        <v>53</v>
      </c>
      <c r="C69" s="25">
        <f t="shared" si="3"/>
        <v>0.0173778154</v>
      </c>
      <c r="D69" s="25">
        <f t="shared" si="4"/>
        <v>158</v>
      </c>
      <c r="K69" s="7">
        <f t="shared" si="10"/>
        <v>0.2331040941</v>
      </c>
      <c r="L69" s="7">
        <f t="shared" si="11"/>
        <v>91</v>
      </c>
      <c r="M69" s="7">
        <f t="shared" si="12"/>
        <v>0.2642496957</v>
      </c>
      <c r="N69" s="7">
        <f t="shared" si="13"/>
        <v>78</v>
      </c>
      <c r="O69" s="7">
        <f t="shared" si="15"/>
        <v>0.5203707466</v>
      </c>
      <c r="P69" s="7" t="str">
        <f t="shared" si="16"/>
        <v>#N/A</v>
      </c>
      <c r="Q69" s="7">
        <f t="shared" si="17"/>
        <v>0.6569423463</v>
      </c>
      <c r="R69" s="7" t="str">
        <f t="shared" si="18"/>
        <v>#N/A</v>
      </c>
      <c r="Y69" s="7">
        <f t="shared" si="24"/>
        <v>0.6951121826</v>
      </c>
      <c r="Z69" s="7" t="str">
        <f t="shared" si="25"/>
        <v>#N/A</v>
      </c>
      <c r="AA69" s="7">
        <f t="shared" si="26"/>
        <v>0.7226368134</v>
      </c>
      <c r="AB69" s="7" t="str">
        <f t="shared" si="27"/>
        <v>#N/A</v>
      </c>
    </row>
    <row r="70" ht="15.75" customHeight="1">
      <c r="A70" s="25">
        <f t="shared" si="1"/>
        <v>0.2964127793</v>
      </c>
      <c r="B70" s="25">
        <f t="shared" si="2"/>
        <v>57</v>
      </c>
      <c r="C70" s="25">
        <f t="shared" si="3"/>
        <v>0.006426384652</v>
      </c>
      <c r="D70" s="25">
        <f t="shared" si="4"/>
        <v>160</v>
      </c>
      <c r="K70" s="7">
        <f t="shared" si="10"/>
        <v>0.4677628132</v>
      </c>
      <c r="L70" s="7">
        <f t="shared" si="11"/>
        <v>64</v>
      </c>
      <c r="M70" s="7">
        <f t="shared" si="12"/>
        <v>0.7650961728</v>
      </c>
      <c r="N70" s="7">
        <f t="shared" si="13"/>
        <v>31</v>
      </c>
      <c r="O70" s="7">
        <f t="shared" si="15"/>
        <v>0.401523423</v>
      </c>
      <c r="P70" s="7" t="str">
        <f t="shared" si="16"/>
        <v>#N/A</v>
      </c>
      <c r="Q70" s="7">
        <f t="shared" si="17"/>
        <v>0.2975061519</v>
      </c>
      <c r="R70" s="7" t="str">
        <f t="shared" si="18"/>
        <v>#N/A</v>
      </c>
      <c r="Y70" s="7">
        <f t="shared" si="24"/>
        <v>0.3630159728</v>
      </c>
      <c r="Z70" s="7" t="str">
        <f t="shared" si="25"/>
        <v>#N/A</v>
      </c>
      <c r="AA70" s="7">
        <f t="shared" si="26"/>
        <v>0.1472420614</v>
      </c>
      <c r="AB70" s="7" t="str">
        <f t="shared" si="27"/>
        <v>#N/A</v>
      </c>
    </row>
    <row r="71" ht="15.75" customHeight="1">
      <c r="A71" s="25">
        <f t="shared" si="1"/>
        <v>0.5440469841</v>
      </c>
      <c r="B71" s="25">
        <f t="shared" si="2"/>
        <v>37</v>
      </c>
      <c r="C71" s="25">
        <f t="shared" si="3"/>
        <v>0.2110795266</v>
      </c>
      <c r="D71" s="25">
        <f t="shared" si="4"/>
        <v>128</v>
      </c>
      <c r="K71" s="7">
        <f t="shared" si="10"/>
        <v>0.3211161554</v>
      </c>
      <c r="L71" s="7">
        <f t="shared" si="11"/>
        <v>81</v>
      </c>
      <c r="M71" s="7">
        <f t="shared" si="12"/>
        <v>0.8418833846</v>
      </c>
      <c r="N71" s="7">
        <f t="shared" si="13"/>
        <v>20</v>
      </c>
      <c r="O71" s="7">
        <f t="shared" si="15"/>
        <v>0.5761821309</v>
      </c>
      <c r="P71" s="7" t="str">
        <f t="shared" si="16"/>
        <v>#N/A</v>
      </c>
      <c r="Q71" s="7">
        <f t="shared" si="17"/>
        <v>0.448118278</v>
      </c>
      <c r="R71" s="7" t="str">
        <f t="shared" si="18"/>
        <v>#N/A</v>
      </c>
      <c r="Y71" s="7">
        <f t="shared" si="24"/>
        <v>0.4201170151</v>
      </c>
      <c r="Z71" s="7" t="str">
        <f t="shared" si="25"/>
        <v>#N/A</v>
      </c>
      <c r="AA71" s="7">
        <f t="shared" si="26"/>
        <v>0.5093800094</v>
      </c>
      <c r="AB71" s="7" t="str">
        <f t="shared" si="27"/>
        <v>#N/A</v>
      </c>
    </row>
    <row r="72" ht="15.75" customHeight="1">
      <c r="A72" s="25">
        <f t="shared" si="1"/>
        <v>0.8230031025</v>
      </c>
      <c r="B72" s="25">
        <f t="shared" si="2"/>
        <v>12</v>
      </c>
      <c r="C72" s="25">
        <f t="shared" si="3"/>
        <v>0.2062667414</v>
      </c>
      <c r="D72" s="25">
        <f t="shared" si="4"/>
        <v>129</v>
      </c>
      <c r="K72" s="7">
        <f t="shared" si="10"/>
        <v>0.2672657673</v>
      </c>
      <c r="L72" s="7">
        <f t="shared" si="11"/>
        <v>87</v>
      </c>
      <c r="M72" s="7">
        <f t="shared" si="12"/>
        <v>0.3296288751</v>
      </c>
      <c r="N72" s="7">
        <f t="shared" si="13"/>
        <v>69</v>
      </c>
      <c r="O72" s="7">
        <f t="shared" si="15"/>
        <v>0.4247223492</v>
      </c>
      <c r="P72" s="7" t="str">
        <f t="shared" si="16"/>
        <v>#N/A</v>
      </c>
      <c r="Q72" s="7">
        <f t="shared" si="17"/>
        <v>0.3249179162</v>
      </c>
      <c r="R72" s="7" t="str">
        <f t="shared" si="18"/>
        <v>#N/A</v>
      </c>
      <c r="Y72" s="7">
        <f t="shared" si="24"/>
        <v>0.09270802769</v>
      </c>
      <c r="Z72" s="7" t="str">
        <f t="shared" si="25"/>
        <v>#N/A</v>
      </c>
      <c r="AA72" s="7">
        <f t="shared" si="26"/>
        <v>0.1462541527</v>
      </c>
      <c r="AB72" s="7" t="str">
        <f t="shared" si="27"/>
        <v>#N/A</v>
      </c>
    </row>
    <row r="73" ht="15.75" customHeight="1">
      <c r="A73" s="25">
        <f t="shared" si="1"/>
        <v>0.6196000854</v>
      </c>
      <c r="B73" s="25">
        <f t="shared" si="2"/>
        <v>27</v>
      </c>
      <c r="C73" s="25">
        <f t="shared" si="3"/>
        <v>0.7332664509</v>
      </c>
      <c r="D73" s="25">
        <f t="shared" si="4"/>
        <v>44</v>
      </c>
      <c r="K73" s="7">
        <f t="shared" si="10"/>
        <v>0.7068945048</v>
      </c>
      <c r="L73" s="7">
        <f t="shared" si="11"/>
        <v>33</v>
      </c>
      <c r="M73" s="7">
        <f t="shared" si="12"/>
        <v>0.9206977295</v>
      </c>
      <c r="N73" s="7">
        <f t="shared" si="13"/>
        <v>9</v>
      </c>
      <c r="O73" s="7">
        <f t="shared" si="15"/>
        <v>0.2576626334</v>
      </c>
      <c r="P73" s="7" t="str">
        <f t="shared" si="16"/>
        <v>#N/A</v>
      </c>
      <c r="Q73" s="7">
        <f t="shared" si="17"/>
        <v>0.1119428167</v>
      </c>
      <c r="R73" s="7" t="str">
        <f t="shared" si="18"/>
        <v>#N/A</v>
      </c>
      <c r="Y73" s="7">
        <f t="shared" si="24"/>
        <v>0.1714238979</v>
      </c>
      <c r="Z73" s="7" t="str">
        <f t="shared" si="25"/>
        <v>#N/A</v>
      </c>
      <c r="AA73" s="7">
        <f t="shared" si="26"/>
        <v>0.1695675386</v>
      </c>
      <c r="AB73" s="7" t="str">
        <f t="shared" si="27"/>
        <v>#N/A</v>
      </c>
    </row>
    <row r="74" ht="15.75" customHeight="1">
      <c r="A74" s="25">
        <f t="shared" si="1"/>
        <v>0.617327429</v>
      </c>
      <c r="B74" s="25">
        <f t="shared" si="2"/>
        <v>28</v>
      </c>
      <c r="C74" s="25">
        <f t="shared" si="3"/>
        <v>0.3188220029</v>
      </c>
      <c r="D74" s="25">
        <f t="shared" si="4"/>
        <v>112</v>
      </c>
      <c r="K74" s="7">
        <f t="shared" si="10"/>
        <v>0.6423801276</v>
      </c>
      <c r="L74" s="7">
        <f t="shared" si="11"/>
        <v>38</v>
      </c>
      <c r="M74" s="7">
        <f t="shared" si="12"/>
        <v>0.1849838253</v>
      </c>
      <c r="N74" s="7">
        <f t="shared" si="13"/>
        <v>90</v>
      </c>
      <c r="O74" s="7">
        <f t="shared" si="15"/>
        <v>0.15435728</v>
      </c>
      <c r="P74" s="7" t="str">
        <f t="shared" si="16"/>
        <v>#N/A</v>
      </c>
      <c r="Q74" s="7">
        <f t="shared" si="17"/>
        <v>0.5062769807</v>
      </c>
      <c r="R74" s="7" t="str">
        <f t="shared" si="18"/>
        <v>#N/A</v>
      </c>
      <c r="Y74" s="7">
        <f t="shared" si="24"/>
        <v>0.9832715602</v>
      </c>
      <c r="Z74" s="7" t="str">
        <f t="shared" si="25"/>
        <v>#N/A</v>
      </c>
      <c r="AA74" s="7">
        <f t="shared" si="26"/>
        <v>0.7929791262</v>
      </c>
      <c r="AB74" s="7" t="str">
        <f t="shared" si="27"/>
        <v>#N/A</v>
      </c>
    </row>
    <row r="75" ht="15.75" customHeight="1">
      <c r="A75" s="25">
        <f t="shared" si="1"/>
        <v>0.8780209665</v>
      </c>
      <c r="B75" s="25">
        <f t="shared" si="2"/>
        <v>9</v>
      </c>
      <c r="C75" s="25">
        <f t="shared" si="3"/>
        <v>0.2498378828</v>
      </c>
      <c r="D75" s="25">
        <f t="shared" si="4"/>
        <v>124</v>
      </c>
      <c r="K75" s="7">
        <f t="shared" si="10"/>
        <v>0.06245474816</v>
      </c>
      <c r="L75" s="7">
        <f t="shared" si="11"/>
        <v>111</v>
      </c>
      <c r="M75" s="7">
        <f t="shared" si="12"/>
        <v>0.3137382447</v>
      </c>
      <c r="N75" s="7">
        <f t="shared" si="13"/>
        <v>71</v>
      </c>
      <c r="O75" s="7">
        <f t="shared" si="15"/>
        <v>0.4773741853</v>
      </c>
      <c r="P75" s="7" t="str">
        <f t="shared" si="16"/>
        <v>#N/A</v>
      </c>
      <c r="Q75" s="7">
        <f t="shared" si="17"/>
        <v>0.5366943239</v>
      </c>
      <c r="R75" s="7" t="str">
        <f t="shared" si="18"/>
        <v>#N/A</v>
      </c>
      <c r="Y75" s="7">
        <f t="shared" si="24"/>
        <v>0.452591159</v>
      </c>
      <c r="Z75" s="7" t="str">
        <f t="shared" si="25"/>
        <v>#N/A</v>
      </c>
      <c r="AA75" s="7">
        <f t="shared" si="26"/>
        <v>0.8491970368</v>
      </c>
      <c r="AB75" s="7" t="str">
        <f t="shared" si="27"/>
        <v>#N/A</v>
      </c>
    </row>
    <row r="76" ht="15.75" customHeight="1">
      <c r="A76" s="25">
        <f t="shared" si="1"/>
        <v>0.9695053663</v>
      </c>
      <c r="B76" s="25">
        <f t="shared" si="2"/>
        <v>2</v>
      </c>
      <c r="C76" s="25">
        <f t="shared" si="3"/>
        <v>0.9561527347</v>
      </c>
      <c r="D76" s="25">
        <f t="shared" si="4"/>
        <v>8</v>
      </c>
      <c r="K76" s="7">
        <f t="shared" si="10"/>
        <v>0.3337878125</v>
      </c>
      <c r="L76" s="7">
        <f t="shared" si="11"/>
        <v>79</v>
      </c>
      <c r="M76" s="7">
        <f t="shared" si="12"/>
        <v>0.8564075156</v>
      </c>
      <c r="N76" s="7">
        <f t="shared" si="13"/>
        <v>18</v>
      </c>
      <c r="O76" s="7">
        <f t="shared" si="15"/>
        <v>0.3624584261</v>
      </c>
      <c r="P76" s="7" t="str">
        <f t="shared" si="16"/>
        <v>#N/A</v>
      </c>
      <c r="Q76" s="7">
        <f t="shared" si="17"/>
        <v>0.08626254</v>
      </c>
      <c r="R76" s="7" t="str">
        <f t="shared" si="18"/>
        <v>#N/A</v>
      </c>
      <c r="Y76" s="7">
        <f t="shared" si="24"/>
        <v>0.5640822589</v>
      </c>
      <c r="Z76" s="7" t="str">
        <f t="shared" si="25"/>
        <v>#N/A</v>
      </c>
      <c r="AA76" s="7">
        <f t="shared" si="26"/>
        <v>0.4793550031</v>
      </c>
      <c r="AB76" s="7" t="str">
        <f t="shared" si="27"/>
        <v>#N/A</v>
      </c>
    </row>
    <row r="77" ht="15.75" customHeight="1">
      <c r="A77" s="25">
        <f t="shared" si="1"/>
        <v>0.3343282487</v>
      </c>
      <c r="B77" s="25">
        <f t="shared" si="2"/>
        <v>52</v>
      </c>
      <c r="C77" s="25">
        <f t="shared" si="3"/>
        <v>0.2631611915</v>
      </c>
      <c r="D77" s="25">
        <f t="shared" si="4"/>
        <v>123</v>
      </c>
      <c r="K77" s="7">
        <f t="shared" si="10"/>
        <v>0.9204908055</v>
      </c>
      <c r="L77" s="7">
        <f t="shared" si="11"/>
        <v>11</v>
      </c>
      <c r="M77" s="7">
        <f t="shared" si="12"/>
        <v>0.3620940367</v>
      </c>
      <c r="N77" s="7">
        <f t="shared" si="13"/>
        <v>66</v>
      </c>
      <c r="O77" s="7">
        <f t="shared" si="15"/>
        <v>0.7597810342</v>
      </c>
      <c r="P77" s="7" t="str">
        <f t="shared" si="16"/>
        <v>#N/A</v>
      </c>
      <c r="Q77" s="7">
        <f t="shared" si="17"/>
        <v>0.1463273786</v>
      </c>
      <c r="R77" s="7" t="str">
        <f t="shared" si="18"/>
        <v>#N/A</v>
      </c>
      <c r="Y77" s="7">
        <f t="shared" si="24"/>
        <v>0.06876087732</v>
      </c>
      <c r="Z77" s="7" t="str">
        <f t="shared" si="25"/>
        <v>#N/A</v>
      </c>
      <c r="AA77" s="7">
        <f t="shared" si="26"/>
        <v>0.7131256187</v>
      </c>
      <c r="AB77" s="7" t="str">
        <f t="shared" si="27"/>
        <v>#N/A</v>
      </c>
    </row>
    <row r="78" ht="15.75" customHeight="1">
      <c r="A78" s="25">
        <f t="shared" si="1"/>
        <v>0.2278950364</v>
      </c>
      <c r="B78" s="25">
        <f t="shared" si="2"/>
        <v>63</v>
      </c>
      <c r="C78" s="25">
        <f t="shared" si="3"/>
        <v>0.789138518</v>
      </c>
      <c r="D78" s="25">
        <f t="shared" si="4"/>
        <v>37</v>
      </c>
      <c r="K78" s="7">
        <f t="shared" si="10"/>
        <v>0.7939745916</v>
      </c>
      <c r="L78" s="7">
        <f t="shared" si="11"/>
        <v>22</v>
      </c>
      <c r="M78" s="7">
        <f t="shared" si="12"/>
        <v>0.5236402856</v>
      </c>
      <c r="N78" s="7">
        <f t="shared" si="13"/>
        <v>54</v>
      </c>
      <c r="O78" s="7">
        <f t="shared" si="15"/>
        <v>0.9481687503</v>
      </c>
      <c r="P78" s="7" t="str">
        <f t="shared" si="16"/>
        <v>#N/A</v>
      </c>
      <c r="Q78" s="7">
        <f t="shared" si="17"/>
        <v>0.05991282131</v>
      </c>
      <c r="R78" s="7" t="str">
        <f t="shared" si="18"/>
        <v>#N/A</v>
      </c>
      <c r="Y78" s="7">
        <f t="shared" si="24"/>
        <v>0.0239573892</v>
      </c>
      <c r="Z78" s="7" t="str">
        <f t="shared" si="25"/>
        <v>#N/A</v>
      </c>
      <c r="AA78" s="7">
        <f t="shared" si="26"/>
        <v>0.9257247347</v>
      </c>
      <c r="AB78" s="7" t="str">
        <f t="shared" si="27"/>
        <v>#N/A</v>
      </c>
    </row>
    <row r="79" ht="15.75" customHeight="1">
      <c r="A79" s="25">
        <f t="shared" si="1"/>
        <v>0.1656864009</v>
      </c>
      <c r="B79" s="25">
        <f t="shared" si="2"/>
        <v>69</v>
      </c>
      <c r="C79" s="25">
        <f t="shared" si="3"/>
        <v>0.4690699539</v>
      </c>
      <c r="D79" s="25">
        <f t="shared" si="4"/>
        <v>87</v>
      </c>
      <c r="K79" s="7">
        <f t="shared" si="10"/>
        <v>0.15699158</v>
      </c>
      <c r="L79" s="7">
        <f t="shared" si="11"/>
        <v>101</v>
      </c>
      <c r="M79" s="7">
        <f t="shared" si="12"/>
        <v>0.4955913701</v>
      </c>
      <c r="N79" s="7">
        <f t="shared" si="13"/>
        <v>57</v>
      </c>
      <c r="O79" s="7">
        <f t="shared" si="15"/>
        <v>0.6194234825</v>
      </c>
      <c r="P79" s="7" t="str">
        <f t="shared" si="16"/>
        <v>#N/A</v>
      </c>
      <c r="Q79" s="7">
        <f t="shared" si="17"/>
        <v>0.6969790376</v>
      </c>
      <c r="R79" s="7" t="str">
        <f t="shared" si="18"/>
        <v>#N/A</v>
      </c>
      <c r="Y79" s="7">
        <f t="shared" si="24"/>
        <v>0.2528897884</v>
      </c>
      <c r="Z79" s="7" t="str">
        <f t="shared" si="25"/>
        <v>#N/A</v>
      </c>
      <c r="AA79" s="7">
        <f t="shared" si="26"/>
        <v>0.6765845247</v>
      </c>
      <c r="AB79" s="7" t="str">
        <f t="shared" si="27"/>
        <v>#N/A</v>
      </c>
    </row>
    <row r="80" ht="15.75" customHeight="1">
      <c r="A80" s="25">
        <f t="shared" si="1"/>
        <v>0.7212996082</v>
      </c>
      <c r="B80" s="25">
        <f t="shared" si="2"/>
        <v>21</v>
      </c>
      <c r="C80" s="25">
        <f t="shared" si="3"/>
        <v>0.7971081087</v>
      </c>
      <c r="D80" s="25">
        <f t="shared" si="4"/>
        <v>35</v>
      </c>
      <c r="K80" s="7">
        <f t="shared" si="10"/>
        <v>0.3355267476</v>
      </c>
      <c r="L80" s="7">
        <f t="shared" si="11"/>
        <v>78</v>
      </c>
      <c r="M80" s="7">
        <f t="shared" si="12"/>
        <v>0.8688312513</v>
      </c>
      <c r="N80" s="7">
        <f t="shared" si="13"/>
        <v>17</v>
      </c>
      <c r="O80" s="7">
        <f t="shared" si="15"/>
        <v>0.9486731019</v>
      </c>
      <c r="P80" s="7" t="str">
        <f t="shared" si="16"/>
        <v>#N/A</v>
      </c>
      <c r="Q80" s="7">
        <f t="shared" si="17"/>
        <v>0.2895536485</v>
      </c>
      <c r="R80" s="7" t="str">
        <f t="shared" si="18"/>
        <v>#N/A</v>
      </c>
      <c r="Y80" s="7">
        <f t="shared" si="24"/>
        <v>0.2943285227</v>
      </c>
      <c r="Z80" s="7" t="str">
        <f t="shared" si="25"/>
        <v>#N/A</v>
      </c>
      <c r="AA80" s="7">
        <f t="shared" si="26"/>
        <v>0.4072714736</v>
      </c>
      <c r="AB80" s="7" t="str">
        <f t="shared" si="27"/>
        <v>#N/A</v>
      </c>
    </row>
    <row r="81" ht="15.75" customHeight="1">
      <c r="C81" s="25">
        <f t="shared" si="3"/>
        <v>0.2301096647</v>
      </c>
      <c r="D81" s="25">
        <f t="shared" si="4"/>
        <v>126</v>
      </c>
      <c r="K81" s="7">
        <f t="shared" si="10"/>
        <v>0.5358709232</v>
      </c>
      <c r="L81" s="7">
        <f t="shared" si="11"/>
        <v>53</v>
      </c>
      <c r="M81" s="7">
        <f t="shared" si="12"/>
        <v>0.8851395456</v>
      </c>
      <c r="N81" s="7">
        <f t="shared" si="13"/>
        <v>14</v>
      </c>
      <c r="O81" s="7">
        <f t="shared" si="15"/>
        <v>0.3494590573</v>
      </c>
      <c r="P81" s="7" t="str">
        <f t="shared" si="16"/>
        <v>#N/A</v>
      </c>
      <c r="Q81" s="7">
        <f t="shared" si="17"/>
        <v>0.8037792534</v>
      </c>
      <c r="R81" s="7" t="str">
        <f t="shared" si="18"/>
        <v>#N/A</v>
      </c>
      <c r="Y81" s="7">
        <f t="shared" si="24"/>
        <v>0.4830902181</v>
      </c>
      <c r="Z81" s="7" t="str">
        <f t="shared" si="25"/>
        <v>#N/A</v>
      </c>
      <c r="AA81" s="7">
        <f t="shared" si="26"/>
        <v>0.5795177276</v>
      </c>
      <c r="AB81" s="7" t="str">
        <f t="shared" si="27"/>
        <v>#N/A</v>
      </c>
    </row>
    <row r="82" ht="15.75" customHeight="1">
      <c r="C82" s="25">
        <f t="shared" si="3"/>
        <v>0.4112569826</v>
      </c>
      <c r="D82" s="25">
        <f t="shared" si="4"/>
        <v>95</v>
      </c>
      <c r="K82" s="7">
        <f t="shared" si="10"/>
        <v>0.6382601736</v>
      </c>
      <c r="L82" s="7">
        <f t="shared" si="11"/>
        <v>42</v>
      </c>
      <c r="M82" s="7">
        <f t="shared" si="12"/>
        <v>0.2718712732</v>
      </c>
      <c r="N82" s="7">
        <f t="shared" si="13"/>
        <v>74</v>
      </c>
      <c r="Q82" s="7">
        <f t="shared" si="17"/>
        <v>0.6351686523</v>
      </c>
      <c r="R82" s="7" t="str">
        <f t="shared" si="18"/>
        <v>#N/A</v>
      </c>
      <c r="Y82" s="7">
        <f t="shared" si="24"/>
        <v>0.4968081075</v>
      </c>
      <c r="Z82" s="7" t="str">
        <f t="shared" si="25"/>
        <v>#N/A</v>
      </c>
      <c r="AA82" s="7">
        <f t="shared" si="26"/>
        <v>0.5229573999</v>
      </c>
      <c r="AB82" s="7" t="str">
        <f t="shared" si="27"/>
        <v>#N/A</v>
      </c>
    </row>
    <row r="83" ht="15.75" customHeight="1">
      <c r="C83" s="25">
        <f t="shared" si="3"/>
        <v>0.8362695434</v>
      </c>
      <c r="D83" s="25">
        <f t="shared" si="4"/>
        <v>28</v>
      </c>
      <c r="K83" s="7">
        <f t="shared" si="10"/>
        <v>0.3859425246</v>
      </c>
      <c r="L83" s="7">
        <f t="shared" si="11"/>
        <v>72</v>
      </c>
      <c r="M83" s="7">
        <f t="shared" si="12"/>
        <v>0.8077051137</v>
      </c>
      <c r="N83" s="7">
        <f t="shared" si="13"/>
        <v>25</v>
      </c>
      <c r="Q83" s="7">
        <f t="shared" si="17"/>
        <v>0.3300504852</v>
      </c>
      <c r="R83" s="7" t="str">
        <f t="shared" si="18"/>
        <v>#N/A</v>
      </c>
      <c r="Y83" s="7">
        <f t="shared" si="24"/>
        <v>0.4087599202</v>
      </c>
      <c r="Z83" s="7" t="str">
        <f t="shared" si="25"/>
        <v>#N/A</v>
      </c>
      <c r="AA83" s="7">
        <f t="shared" si="26"/>
        <v>0.4954603532</v>
      </c>
      <c r="AB83" s="7" t="str">
        <f t="shared" si="27"/>
        <v>#N/A</v>
      </c>
    </row>
    <row r="84" ht="15.75" customHeight="1">
      <c r="C84" s="25">
        <f t="shared" si="3"/>
        <v>0.9016128035</v>
      </c>
      <c r="D84" s="25">
        <f t="shared" si="4"/>
        <v>16</v>
      </c>
      <c r="K84" s="7">
        <f t="shared" si="10"/>
        <v>0.5494609322</v>
      </c>
      <c r="L84" s="7">
        <f t="shared" si="11"/>
        <v>52</v>
      </c>
      <c r="M84" s="7">
        <f t="shared" si="12"/>
        <v>0.7534716924</v>
      </c>
      <c r="N84" s="7">
        <f t="shared" si="13"/>
        <v>33</v>
      </c>
      <c r="Q84" s="7">
        <f t="shared" si="17"/>
        <v>0.7197504231</v>
      </c>
      <c r="R84" s="7" t="str">
        <f t="shared" si="18"/>
        <v>#N/A</v>
      </c>
      <c r="Y84" s="7">
        <f t="shared" si="24"/>
        <v>0.7127176129</v>
      </c>
      <c r="Z84" s="7" t="str">
        <f t="shared" si="25"/>
        <v>#N/A</v>
      </c>
      <c r="AA84" s="7">
        <f t="shared" si="26"/>
        <v>0.9881973542</v>
      </c>
      <c r="AB84" s="7" t="str">
        <f t="shared" si="27"/>
        <v>#N/A</v>
      </c>
    </row>
    <row r="85" ht="15.75" customHeight="1">
      <c r="C85" s="25">
        <f t="shared" si="3"/>
        <v>0.1643833014</v>
      </c>
      <c r="D85" s="25">
        <f t="shared" si="4"/>
        <v>132</v>
      </c>
      <c r="K85" s="7">
        <f t="shared" si="10"/>
        <v>0.7630462079</v>
      </c>
      <c r="L85" s="7">
        <f t="shared" si="11"/>
        <v>26</v>
      </c>
      <c r="M85" s="7">
        <f t="shared" si="12"/>
        <v>0.09782324363</v>
      </c>
      <c r="N85" s="7">
        <f t="shared" si="13"/>
        <v>96</v>
      </c>
      <c r="Q85" s="7">
        <f t="shared" si="17"/>
        <v>0.3452950297</v>
      </c>
      <c r="R85" s="7" t="str">
        <f t="shared" si="18"/>
        <v>#N/A</v>
      </c>
      <c r="Y85" s="7">
        <f t="shared" si="24"/>
        <v>0.5033160739</v>
      </c>
      <c r="Z85" s="7" t="str">
        <f t="shared" si="25"/>
        <v>#N/A</v>
      </c>
      <c r="AA85" s="7">
        <f t="shared" si="26"/>
        <v>0.1811777345</v>
      </c>
      <c r="AB85" s="7" t="str">
        <f t="shared" si="27"/>
        <v>#N/A</v>
      </c>
    </row>
    <row r="86" ht="15.75" customHeight="1">
      <c r="C86" s="25">
        <f t="shared" si="3"/>
        <v>0.3113229249</v>
      </c>
      <c r="D86" s="25">
        <f t="shared" si="4"/>
        <v>114</v>
      </c>
      <c r="K86" s="7">
        <f t="shared" si="10"/>
        <v>0.9061053531</v>
      </c>
      <c r="L86" s="7">
        <f t="shared" si="11"/>
        <v>12</v>
      </c>
      <c r="M86" s="7">
        <f t="shared" si="12"/>
        <v>0.6341003653</v>
      </c>
      <c r="N86" s="7">
        <f t="shared" si="13"/>
        <v>47</v>
      </c>
      <c r="Q86" s="7">
        <f t="shared" si="17"/>
        <v>0.7920299237</v>
      </c>
      <c r="R86" s="7" t="str">
        <f t="shared" si="18"/>
        <v>#N/A</v>
      </c>
      <c r="Y86" s="7">
        <f t="shared" si="24"/>
        <v>0.3949322573</v>
      </c>
      <c r="Z86" s="7" t="str">
        <f t="shared" si="25"/>
        <v>#N/A</v>
      </c>
      <c r="AA86" s="7">
        <f t="shared" si="26"/>
        <v>0.6862125167</v>
      </c>
      <c r="AB86" s="7" t="str">
        <f t="shared" si="27"/>
        <v>#N/A</v>
      </c>
    </row>
    <row r="87" ht="15.75" customHeight="1">
      <c r="C87" s="25">
        <f t="shared" si="3"/>
        <v>0.7942249692</v>
      </c>
      <c r="D87" s="25">
        <f t="shared" si="4"/>
        <v>36</v>
      </c>
      <c r="K87" s="7">
        <f t="shared" si="10"/>
        <v>0.03247190738</v>
      </c>
      <c r="L87" s="7">
        <f t="shared" si="11"/>
        <v>115</v>
      </c>
      <c r="M87" s="7">
        <f t="shared" si="12"/>
        <v>0.20219884</v>
      </c>
      <c r="N87" s="7">
        <f t="shared" si="13"/>
        <v>89</v>
      </c>
      <c r="Q87" s="7">
        <f t="shared" si="17"/>
        <v>0.4521778838</v>
      </c>
      <c r="R87" s="7" t="str">
        <f t="shared" si="18"/>
        <v>#N/A</v>
      </c>
      <c r="Y87" s="7">
        <f t="shared" si="24"/>
        <v>0.7844623099</v>
      </c>
      <c r="Z87" s="7" t="str">
        <f t="shared" si="25"/>
        <v>#N/A</v>
      </c>
      <c r="AA87" s="7">
        <f t="shared" si="26"/>
        <v>0.6519838692</v>
      </c>
      <c r="AB87" s="7" t="str">
        <f t="shared" si="27"/>
        <v>#N/A</v>
      </c>
    </row>
    <row r="88" ht="15.75" customHeight="1">
      <c r="C88" s="25">
        <f t="shared" si="3"/>
        <v>0.07648355978</v>
      </c>
      <c r="D88" s="25">
        <f t="shared" si="4"/>
        <v>149</v>
      </c>
      <c r="K88" s="7">
        <f t="shared" si="10"/>
        <v>0.04467012736</v>
      </c>
      <c r="L88" s="7">
        <f t="shared" si="11"/>
        <v>113</v>
      </c>
      <c r="M88" s="7">
        <f t="shared" si="12"/>
        <v>0.02041404664</v>
      </c>
      <c r="N88" s="7">
        <f t="shared" si="13"/>
        <v>100</v>
      </c>
      <c r="Q88" s="7">
        <f t="shared" si="17"/>
        <v>0.6929486129</v>
      </c>
      <c r="R88" s="7" t="str">
        <f t="shared" si="18"/>
        <v>#N/A</v>
      </c>
      <c r="Y88" s="7">
        <f t="shared" si="24"/>
        <v>0.5597811218</v>
      </c>
      <c r="Z88" s="7" t="str">
        <f t="shared" si="25"/>
        <v>#N/A</v>
      </c>
      <c r="AA88" s="7">
        <f t="shared" si="26"/>
        <v>0.8162507733</v>
      </c>
      <c r="AB88" s="7" t="str">
        <f t="shared" si="27"/>
        <v>#N/A</v>
      </c>
    </row>
    <row r="89" ht="15.75" customHeight="1">
      <c r="C89" s="25">
        <f t="shared" si="3"/>
        <v>0.4377908455</v>
      </c>
      <c r="D89" s="25">
        <f t="shared" si="4"/>
        <v>93</v>
      </c>
      <c r="K89" s="7">
        <f t="shared" si="10"/>
        <v>0.2212607939</v>
      </c>
      <c r="L89" s="7">
        <f t="shared" si="11"/>
        <v>92</v>
      </c>
      <c r="M89" s="7">
        <f t="shared" si="12"/>
        <v>0.8560283835</v>
      </c>
      <c r="N89" s="7">
        <f t="shared" si="13"/>
        <v>19</v>
      </c>
      <c r="Q89" s="7">
        <f t="shared" si="17"/>
        <v>0.2780879032</v>
      </c>
      <c r="R89" s="7" t="str">
        <f t="shared" si="18"/>
        <v>#N/A</v>
      </c>
      <c r="Y89" s="7">
        <f t="shared" si="24"/>
        <v>0.5420532519</v>
      </c>
      <c r="Z89" s="7" t="str">
        <f t="shared" si="25"/>
        <v>#N/A</v>
      </c>
      <c r="AA89" s="7">
        <f t="shared" si="26"/>
        <v>0.6823306973</v>
      </c>
      <c r="AB89" s="7" t="str">
        <f t="shared" si="27"/>
        <v>#N/A</v>
      </c>
    </row>
    <row r="90" ht="15.75" customHeight="1">
      <c r="C90" s="25">
        <f t="shared" si="3"/>
        <v>0.3808985278</v>
      </c>
      <c r="D90" s="25">
        <f t="shared" si="4"/>
        <v>99</v>
      </c>
      <c r="K90" s="7">
        <f t="shared" si="10"/>
        <v>0.1268220224</v>
      </c>
      <c r="L90" s="7">
        <f t="shared" si="11"/>
        <v>106</v>
      </c>
      <c r="M90" s="7">
        <f t="shared" si="12"/>
        <v>0.2713881511</v>
      </c>
      <c r="N90" s="7">
        <f t="shared" si="13"/>
        <v>75</v>
      </c>
      <c r="Q90" s="7">
        <f t="shared" si="17"/>
        <v>0.09766812048</v>
      </c>
      <c r="R90" s="7" t="str">
        <f t="shared" si="18"/>
        <v>#N/A</v>
      </c>
      <c r="Y90" s="7">
        <f t="shared" si="24"/>
        <v>0.3150158253</v>
      </c>
      <c r="Z90" s="7" t="str">
        <f t="shared" si="25"/>
        <v>#N/A</v>
      </c>
      <c r="AA90" s="7">
        <f t="shared" si="26"/>
        <v>0.2038678102</v>
      </c>
      <c r="AB90" s="7" t="str">
        <f t="shared" si="27"/>
        <v>#N/A</v>
      </c>
    </row>
    <row r="91" ht="15.75" customHeight="1">
      <c r="C91" s="25">
        <f t="shared" si="3"/>
        <v>0.7986998184</v>
      </c>
      <c r="D91" s="25">
        <f t="shared" si="4"/>
        <v>34</v>
      </c>
      <c r="K91" s="7">
        <f t="shared" si="10"/>
        <v>0.5343387461</v>
      </c>
      <c r="L91" s="7">
        <f t="shared" si="11"/>
        <v>54</v>
      </c>
      <c r="M91" s="7">
        <f t="shared" si="12"/>
        <v>0.4965404846</v>
      </c>
      <c r="N91" s="7">
        <f t="shared" si="13"/>
        <v>56</v>
      </c>
      <c r="Q91" s="7">
        <f t="shared" si="17"/>
        <v>0.7803831695</v>
      </c>
      <c r="R91" s="7" t="str">
        <f t="shared" si="18"/>
        <v>#N/A</v>
      </c>
      <c r="Y91" s="7">
        <f t="shared" si="24"/>
        <v>0.7854570653</v>
      </c>
      <c r="Z91" s="7" t="str">
        <f t="shared" si="25"/>
        <v>#N/A</v>
      </c>
      <c r="AA91" s="7">
        <f t="shared" si="26"/>
        <v>0.7708043778</v>
      </c>
      <c r="AB91" s="7" t="str">
        <f t="shared" si="27"/>
        <v>#N/A</v>
      </c>
    </row>
    <row r="92" ht="15.75" customHeight="1">
      <c r="C92" s="25">
        <f t="shared" si="3"/>
        <v>0.3699567038</v>
      </c>
      <c r="D92" s="25">
        <f t="shared" si="4"/>
        <v>104</v>
      </c>
      <c r="K92" s="7">
        <f t="shared" si="10"/>
        <v>0.6723129018</v>
      </c>
      <c r="L92" s="7">
        <f t="shared" si="11"/>
        <v>36</v>
      </c>
      <c r="M92" s="7">
        <f t="shared" si="12"/>
        <v>0.7458542136</v>
      </c>
      <c r="N92" s="7">
        <f t="shared" si="13"/>
        <v>35</v>
      </c>
      <c r="Q92" s="7">
        <f t="shared" si="17"/>
        <v>0.970696233</v>
      </c>
      <c r="R92" s="7" t="str">
        <f t="shared" si="18"/>
        <v>#N/A</v>
      </c>
      <c r="Y92" s="7">
        <f t="shared" si="24"/>
        <v>0.4513960161</v>
      </c>
      <c r="Z92" s="7" t="str">
        <f t="shared" si="25"/>
        <v>#N/A</v>
      </c>
      <c r="AA92" s="7">
        <f t="shared" si="26"/>
        <v>0.8629389556</v>
      </c>
      <c r="AB92" s="7" t="str">
        <f t="shared" si="27"/>
        <v>#N/A</v>
      </c>
    </row>
    <row r="93" ht="15.75" customHeight="1">
      <c r="C93" s="25">
        <f t="shared" si="3"/>
        <v>0.3270365595</v>
      </c>
      <c r="D93" s="25">
        <f t="shared" si="4"/>
        <v>111</v>
      </c>
      <c r="K93" s="7">
        <f t="shared" si="10"/>
        <v>0.4162346264</v>
      </c>
      <c r="L93" s="7">
        <f t="shared" si="11"/>
        <v>67</v>
      </c>
      <c r="M93" s="7">
        <f t="shared" si="12"/>
        <v>0.9718834941</v>
      </c>
      <c r="N93" s="7">
        <f t="shared" si="13"/>
        <v>5</v>
      </c>
      <c r="Q93" s="7">
        <f t="shared" si="17"/>
        <v>0.1942993374</v>
      </c>
      <c r="R93" s="7" t="str">
        <f t="shared" si="18"/>
        <v>#N/A</v>
      </c>
      <c r="Y93" s="7">
        <f t="shared" si="24"/>
        <v>0.9811098902</v>
      </c>
      <c r="Z93" s="7" t="str">
        <f t="shared" si="25"/>
        <v>#N/A</v>
      </c>
      <c r="AA93" s="7">
        <f t="shared" si="26"/>
        <v>0.6259280118</v>
      </c>
      <c r="AB93" s="7" t="str">
        <f t="shared" si="27"/>
        <v>#N/A</v>
      </c>
    </row>
    <row r="94" ht="15.75" customHeight="1">
      <c r="C94" s="25">
        <f t="shared" si="3"/>
        <v>0.8137944902</v>
      </c>
      <c r="D94" s="25">
        <f t="shared" si="4"/>
        <v>33</v>
      </c>
      <c r="K94" s="7">
        <f t="shared" si="10"/>
        <v>0.168833157</v>
      </c>
      <c r="L94" s="7">
        <f t="shared" si="11"/>
        <v>100</v>
      </c>
      <c r="M94" s="7">
        <f t="shared" si="12"/>
        <v>0.7441517041</v>
      </c>
      <c r="N94" s="7">
        <f t="shared" si="13"/>
        <v>36</v>
      </c>
      <c r="Q94" s="7">
        <f t="shared" si="17"/>
        <v>0.6380850815</v>
      </c>
      <c r="R94" s="7" t="str">
        <f t="shared" si="18"/>
        <v>#N/A</v>
      </c>
      <c r="Y94" s="7">
        <f t="shared" si="24"/>
        <v>0.04607954144</v>
      </c>
      <c r="Z94" s="7" t="str">
        <f t="shared" si="25"/>
        <v>#N/A</v>
      </c>
      <c r="AA94" s="7">
        <f t="shared" si="26"/>
        <v>0.7436100912</v>
      </c>
      <c r="AB94" s="7" t="str">
        <f t="shared" si="27"/>
        <v>#N/A</v>
      </c>
    </row>
    <row r="95" ht="15.75" customHeight="1">
      <c r="C95" s="25">
        <f t="shared" si="3"/>
        <v>0.1629081558</v>
      </c>
      <c r="D95" s="25">
        <f t="shared" si="4"/>
        <v>133</v>
      </c>
      <c r="K95" s="7">
        <f t="shared" si="10"/>
        <v>0.5504540367</v>
      </c>
      <c r="L95" s="7">
        <f t="shared" si="11"/>
        <v>51</v>
      </c>
      <c r="M95" s="7">
        <f t="shared" si="12"/>
        <v>0.408485667</v>
      </c>
      <c r="N95" s="7">
        <f t="shared" si="13"/>
        <v>62</v>
      </c>
      <c r="Q95" s="7">
        <f t="shared" si="17"/>
        <v>0.5718087021</v>
      </c>
      <c r="R95" s="7" t="str">
        <f t="shared" si="18"/>
        <v>#N/A</v>
      </c>
      <c r="Y95" s="7">
        <f t="shared" si="24"/>
        <v>0.3430670885</v>
      </c>
      <c r="Z95" s="7" t="str">
        <f t="shared" si="25"/>
        <v>#N/A</v>
      </c>
      <c r="AA95" s="7">
        <f t="shared" si="26"/>
        <v>0.2740202816</v>
      </c>
      <c r="AB95" s="7" t="str">
        <f t="shared" si="27"/>
        <v>#N/A</v>
      </c>
    </row>
    <row r="96" ht="15.75" customHeight="1">
      <c r="C96" s="25">
        <f t="shared" si="3"/>
        <v>0.285225079</v>
      </c>
      <c r="D96" s="25">
        <f t="shared" si="4"/>
        <v>117</v>
      </c>
      <c r="K96" s="7">
        <f t="shared" si="10"/>
        <v>0.1280613504</v>
      </c>
      <c r="L96" s="7">
        <f t="shared" si="11"/>
        <v>105</v>
      </c>
      <c r="M96" s="7">
        <f t="shared" si="12"/>
        <v>0.3722480555</v>
      </c>
      <c r="N96" s="7">
        <f t="shared" si="13"/>
        <v>65</v>
      </c>
      <c r="Q96" s="7">
        <f t="shared" si="17"/>
        <v>0.5867899193</v>
      </c>
      <c r="R96" s="7" t="str">
        <f t="shared" si="18"/>
        <v>#N/A</v>
      </c>
      <c r="Y96" s="7">
        <f t="shared" si="24"/>
        <v>0.6474241701</v>
      </c>
      <c r="Z96" s="7" t="str">
        <f t="shared" si="25"/>
        <v>#N/A</v>
      </c>
      <c r="AA96" s="7">
        <f t="shared" si="26"/>
        <v>0.1036158556</v>
      </c>
      <c r="AB96" s="7" t="str">
        <f t="shared" si="27"/>
        <v>#N/A</v>
      </c>
    </row>
    <row r="97" ht="15.75" customHeight="1">
      <c r="C97" s="25">
        <f t="shared" si="3"/>
        <v>0.2767098948</v>
      </c>
      <c r="D97" s="25">
        <f t="shared" si="4"/>
        <v>119</v>
      </c>
      <c r="K97" s="7">
        <f t="shared" si="10"/>
        <v>0.3161473691</v>
      </c>
      <c r="L97" s="7">
        <f t="shared" si="11"/>
        <v>82</v>
      </c>
      <c r="M97" s="7">
        <f t="shared" si="12"/>
        <v>0.7996013333</v>
      </c>
      <c r="N97" s="7">
        <f t="shared" si="13"/>
        <v>26</v>
      </c>
      <c r="Q97" s="7">
        <f t="shared" si="17"/>
        <v>0.7975134629</v>
      </c>
      <c r="R97" s="7" t="str">
        <f t="shared" si="18"/>
        <v>#N/A</v>
      </c>
      <c r="Y97" s="7">
        <f t="shared" si="24"/>
        <v>0.1792587471</v>
      </c>
      <c r="Z97" s="7" t="str">
        <f t="shared" si="25"/>
        <v>#N/A</v>
      </c>
      <c r="AA97" s="7">
        <f t="shared" si="26"/>
        <v>0.03408862873</v>
      </c>
      <c r="AB97" s="7" t="str">
        <f t="shared" si="27"/>
        <v>#N/A</v>
      </c>
    </row>
    <row r="98" ht="15.75" customHeight="1">
      <c r="C98" s="25">
        <f t="shared" si="3"/>
        <v>0.6613582655</v>
      </c>
      <c r="D98" s="25">
        <f t="shared" si="4"/>
        <v>55</v>
      </c>
      <c r="K98" s="7">
        <f t="shared" si="10"/>
        <v>0.9239798998</v>
      </c>
      <c r="L98" s="7">
        <f t="shared" si="11"/>
        <v>10</v>
      </c>
      <c r="M98" s="7">
        <f t="shared" si="12"/>
        <v>0.4607673186</v>
      </c>
      <c r="N98" s="7">
        <f t="shared" si="13"/>
        <v>60</v>
      </c>
      <c r="Q98" s="7">
        <f t="shared" si="17"/>
        <v>0.9046258182</v>
      </c>
      <c r="R98" s="7" t="str">
        <f t="shared" si="18"/>
        <v>#N/A</v>
      </c>
      <c r="Y98" s="7">
        <f t="shared" si="24"/>
        <v>0.2547326855</v>
      </c>
      <c r="Z98" s="7" t="str">
        <f t="shared" si="25"/>
        <v>#N/A</v>
      </c>
      <c r="AA98" s="7">
        <f t="shared" si="26"/>
        <v>0.8698397654</v>
      </c>
      <c r="AB98" s="7" t="str">
        <f t="shared" si="27"/>
        <v>#N/A</v>
      </c>
    </row>
    <row r="99" ht="15.75" customHeight="1">
      <c r="C99" s="25">
        <f t="shared" si="3"/>
        <v>0.08845283438</v>
      </c>
      <c r="D99" s="25">
        <f t="shared" si="4"/>
        <v>146</v>
      </c>
      <c r="K99" s="7">
        <f t="shared" si="10"/>
        <v>0.8268772874</v>
      </c>
      <c r="L99" s="7">
        <f t="shared" si="11"/>
        <v>20</v>
      </c>
      <c r="M99" s="7">
        <f t="shared" si="12"/>
        <v>0.7697897356</v>
      </c>
      <c r="N99" s="7">
        <f t="shared" si="13"/>
        <v>30</v>
      </c>
      <c r="Q99" s="7">
        <f t="shared" si="17"/>
        <v>0.8915200321</v>
      </c>
      <c r="R99" s="7" t="str">
        <f t="shared" si="18"/>
        <v>#N/A</v>
      </c>
      <c r="Y99" s="7">
        <f t="shared" si="24"/>
        <v>0.8555164518</v>
      </c>
      <c r="Z99" s="7" t="str">
        <f t="shared" si="25"/>
        <v>#N/A</v>
      </c>
      <c r="AA99" s="7">
        <f t="shared" si="26"/>
        <v>0.5814537491</v>
      </c>
      <c r="AB99" s="7" t="str">
        <f t="shared" si="27"/>
        <v>#N/A</v>
      </c>
    </row>
    <row r="100" ht="15.75" customHeight="1">
      <c r="C100" s="25">
        <f t="shared" si="3"/>
        <v>0.9188185325</v>
      </c>
      <c r="D100" s="25">
        <f t="shared" si="4"/>
        <v>13</v>
      </c>
      <c r="K100" s="7">
        <f t="shared" si="10"/>
        <v>0.5206172752</v>
      </c>
      <c r="L100" s="7">
        <f t="shared" si="11"/>
        <v>56</v>
      </c>
      <c r="M100" s="7">
        <f t="shared" si="12"/>
        <v>0.9383097873</v>
      </c>
      <c r="N100" s="7">
        <f t="shared" si="13"/>
        <v>7</v>
      </c>
      <c r="Q100" s="7">
        <f t="shared" si="17"/>
        <v>0.3677079586</v>
      </c>
      <c r="R100" s="7" t="str">
        <f t="shared" si="18"/>
        <v>#N/A</v>
      </c>
      <c r="Y100" s="7">
        <f t="shared" si="24"/>
        <v>0.502216648</v>
      </c>
      <c r="Z100" s="7" t="str">
        <f t="shared" si="25"/>
        <v>#N/A</v>
      </c>
      <c r="AA100" s="7">
        <f t="shared" si="26"/>
        <v>0.3128666625</v>
      </c>
      <c r="AB100" s="7" t="str">
        <f t="shared" si="27"/>
        <v>#N/A</v>
      </c>
    </row>
    <row r="101" ht="15.75" customHeight="1">
      <c r="C101" s="25">
        <f t="shared" si="3"/>
        <v>0.8709707825</v>
      </c>
      <c r="D101" s="25">
        <f t="shared" si="4"/>
        <v>22</v>
      </c>
      <c r="K101" s="7">
        <f t="shared" si="10"/>
        <v>0.635035827</v>
      </c>
      <c r="L101" s="7">
        <f t="shared" si="11"/>
        <v>44</v>
      </c>
      <c r="Q101" s="7">
        <f t="shared" si="17"/>
        <v>0.4498628858</v>
      </c>
      <c r="R101" s="7" t="str">
        <f t="shared" si="18"/>
        <v>#N/A</v>
      </c>
      <c r="Y101" s="7">
        <f t="shared" si="24"/>
        <v>0.5960280317</v>
      </c>
      <c r="Z101" s="7" t="str">
        <f t="shared" si="25"/>
        <v>#N/A</v>
      </c>
      <c r="AA101" s="7">
        <f t="shared" si="26"/>
        <v>0.7297348589</v>
      </c>
      <c r="AB101" s="7" t="str">
        <f t="shared" si="27"/>
        <v>#N/A</v>
      </c>
    </row>
    <row r="102" ht="15.75" customHeight="1">
      <c r="C102" s="25">
        <f t="shared" si="3"/>
        <v>0.06103467665</v>
      </c>
      <c r="D102" s="25">
        <f t="shared" si="4"/>
        <v>152</v>
      </c>
      <c r="K102" s="7">
        <f t="shared" si="10"/>
        <v>0.2492682864</v>
      </c>
      <c r="L102" s="7">
        <f t="shared" si="11"/>
        <v>88</v>
      </c>
      <c r="Q102" s="7">
        <f t="shared" si="17"/>
        <v>0.4417864607</v>
      </c>
      <c r="R102" s="7" t="str">
        <f t="shared" si="18"/>
        <v>#N/A</v>
      </c>
      <c r="Y102" s="7">
        <f t="shared" si="24"/>
        <v>0.2674929545</v>
      </c>
      <c r="Z102" s="7" t="str">
        <f t="shared" si="25"/>
        <v>#N/A</v>
      </c>
    </row>
    <row r="103" ht="15.75" customHeight="1">
      <c r="C103" s="25">
        <f t="shared" si="3"/>
        <v>0.9664980882</v>
      </c>
      <c r="D103" s="25">
        <f t="shared" si="4"/>
        <v>5</v>
      </c>
      <c r="K103" s="7">
        <f t="shared" si="10"/>
        <v>0.1393827825</v>
      </c>
      <c r="L103" s="7">
        <f t="shared" si="11"/>
        <v>103</v>
      </c>
      <c r="Q103" s="7">
        <f t="shared" si="17"/>
        <v>0.7079694671</v>
      </c>
      <c r="R103" s="7" t="str">
        <f t="shared" si="18"/>
        <v>#N/A</v>
      </c>
      <c r="Y103" s="7">
        <f t="shared" si="24"/>
        <v>0.7577347365</v>
      </c>
      <c r="Z103" s="7" t="str">
        <f t="shared" si="25"/>
        <v>#N/A</v>
      </c>
    </row>
    <row r="104" ht="15.75" customHeight="1">
      <c r="C104" s="25">
        <f t="shared" si="3"/>
        <v>0.2728821129</v>
      </c>
      <c r="D104" s="25">
        <f t="shared" si="4"/>
        <v>120</v>
      </c>
      <c r="K104" s="7">
        <f t="shared" si="10"/>
        <v>0.9980985066</v>
      </c>
      <c r="L104" s="7">
        <f t="shared" si="11"/>
        <v>1</v>
      </c>
      <c r="Q104" s="7">
        <f t="shared" si="17"/>
        <v>0.5310907061</v>
      </c>
      <c r="R104" s="7" t="str">
        <f t="shared" si="18"/>
        <v>#N/A</v>
      </c>
      <c r="Y104" s="7">
        <f t="shared" si="24"/>
        <v>0.1803636981</v>
      </c>
      <c r="Z104" s="7" t="str">
        <f t="shared" si="25"/>
        <v>#N/A</v>
      </c>
    </row>
    <row r="105" ht="15.75" customHeight="1">
      <c r="C105" s="25">
        <f t="shared" si="3"/>
        <v>0.2427204785</v>
      </c>
      <c r="D105" s="25">
        <f t="shared" si="4"/>
        <v>125</v>
      </c>
      <c r="K105" s="7">
        <f t="shared" si="10"/>
        <v>0.3395047576</v>
      </c>
      <c r="L105" s="7">
        <f t="shared" si="11"/>
        <v>76</v>
      </c>
      <c r="Q105" s="7">
        <f t="shared" si="17"/>
        <v>0.8100420557</v>
      </c>
      <c r="R105" s="7" t="str">
        <f t="shared" si="18"/>
        <v>#N/A</v>
      </c>
      <c r="Y105" s="7">
        <f t="shared" si="24"/>
        <v>0.9529749937</v>
      </c>
      <c r="Z105" s="7" t="str">
        <f t="shared" si="25"/>
        <v>#N/A</v>
      </c>
    </row>
    <row r="106" ht="15.75" customHeight="1">
      <c r="C106" s="25">
        <f t="shared" si="3"/>
        <v>0.3643031498</v>
      </c>
      <c r="D106" s="25">
        <f t="shared" si="4"/>
        <v>106</v>
      </c>
      <c r="K106" s="7">
        <f t="shared" si="10"/>
        <v>0.03864472531</v>
      </c>
      <c r="L106" s="7">
        <f t="shared" si="11"/>
        <v>114</v>
      </c>
      <c r="Q106" s="7">
        <f t="shared" si="17"/>
        <v>0.3404055951</v>
      </c>
      <c r="R106" s="7" t="str">
        <f t="shared" si="18"/>
        <v>#N/A</v>
      </c>
      <c r="Y106" s="7">
        <f t="shared" si="24"/>
        <v>0.05218857555</v>
      </c>
      <c r="Z106" s="7" t="str">
        <f t="shared" si="25"/>
        <v>#N/A</v>
      </c>
    </row>
    <row r="107" ht="15.75" customHeight="1">
      <c r="C107" s="25">
        <f t="shared" si="3"/>
        <v>0.5182984202</v>
      </c>
      <c r="D107" s="25">
        <f t="shared" si="4"/>
        <v>79</v>
      </c>
      <c r="K107" s="7">
        <f t="shared" si="10"/>
        <v>0.7625770102</v>
      </c>
      <c r="L107" s="7">
        <f t="shared" si="11"/>
        <v>27</v>
      </c>
      <c r="Q107" s="7">
        <f t="shared" si="17"/>
        <v>0.9358714985</v>
      </c>
      <c r="R107" s="7" t="str">
        <f t="shared" si="18"/>
        <v>#N/A</v>
      </c>
      <c r="Y107" s="7">
        <f t="shared" si="24"/>
        <v>0.6456894119</v>
      </c>
      <c r="Z107" s="7" t="str">
        <f t="shared" si="25"/>
        <v>#N/A</v>
      </c>
    </row>
    <row r="108" ht="15.75" customHeight="1">
      <c r="C108" s="25">
        <f t="shared" si="3"/>
        <v>0.4523203124</v>
      </c>
      <c r="D108" s="25">
        <f t="shared" si="4"/>
        <v>90</v>
      </c>
      <c r="K108" s="7">
        <f t="shared" si="10"/>
        <v>0.633497353</v>
      </c>
      <c r="L108" s="7">
        <f t="shared" si="11"/>
        <v>45</v>
      </c>
      <c r="Q108" s="7">
        <f t="shared" si="17"/>
        <v>0.1359676269</v>
      </c>
      <c r="R108" s="7" t="str">
        <f t="shared" si="18"/>
        <v>#N/A</v>
      </c>
      <c r="Y108" s="7">
        <f t="shared" si="24"/>
        <v>0.1901947102</v>
      </c>
      <c r="Z108" s="7" t="str">
        <f t="shared" si="25"/>
        <v>#N/A</v>
      </c>
    </row>
    <row r="109" ht="15.75" customHeight="1">
      <c r="C109" s="25">
        <f t="shared" si="3"/>
        <v>0.6500250358</v>
      </c>
      <c r="D109" s="25">
        <f t="shared" si="4"/>
        <v>57</v>
      </c>
      <c r="K109" s="7">
        <f t="shared" si="10"/>
        <v>0.5831272294</v>
      </c>
      <c r="L109" s="7">
        <f t="shared" si="11"/>
        <v>49</v>
      </c>
      <c r="Q109" s="7">
        <f t="shared" si="17"/>
        <v>0.3759008253</v>
      </c>
      <c r="R109" s="7" t="str">
        <f t="shared" si="18"/>
        <v>#N/A</v>
      </c>
      <c r="Y109" s="7">
        <f t="shared" si="24"/>
        <v>0.6986484139</v>
      </c>
      <c r="Z109" s="7" t="str">
        <f t="shared" si="25"/>
        <v>#N/A</v>
      </c>
    </row>
    <row r="110" ht="15.75" customHeight="1">
      <c r="C110" s="25">
        <f t="shared" si="3"/>
        <v>0.9926358522</v>
      </c>
      <c r="D110" s="25">
        <f t="shared" si="4"/>
        <v>2</v>
      </c>
      <c r="K110" s="7">
        <f t="shared" si="10"/>
        <v>0.0874283877</v>
      </c>
      <c r="L110" s="7">
        <f t="shared" si="11"/>
        <v>110</v>
      </c>
      <c r="Q110" s="7">
        <f t="shared" si="17"/>
        <v>0.436865772</v>
      </c>
      <c r="R110" s="7" t="str">
        <f t="shared" si="18"/>
        <v>#N/A</v>
      </c>
      <c r="Y110" s="7">
        <f t="shared" si="24"/>
        <v>0.530553561</v>
      </c>
      <c r="Z110" s="7" t="str">
        <f t="shared" si="25"/>
        <v>#N/A</v>
      </c>
    </row>
    <row r="111" ht="15.75" customHeight="1">
      <c r="C111" s="25">
        <f t="shared" si="3"/>
        <v>0.1108079027</v>
      </c>
      <c r="D111" s="25">
        <f t="shared" si="4"/>
        <v>139</v>
      </c>
      <c r="K111" s="7">
        <f t="shared" si="10"/>
        <v>0.3696505213</v>
      </c>
      <c r="L111" s="7">
        <f t="shared" si="11"/>
        <v>73</v>
      </c>
      <c r="Q111" s="7">
        <f t="shared" si="17"/>
        <v>0.9953678214</v>
      </c>
      <c r="R111" s="7" t="str">
        <f t="shared" si="18"/>
        <v>#N/A</v>
      </c>
      <c r="Y111" s="7">
        <f t="shared" si="24"/>
        <v>0.02998403716</v>
      </c>
      <c r="Z111" s="7" t="str">
        <f t="shared" si="25"/>
        <v>#N/A</v>
      </c>
    </row>
    <row r="112" ht="15.75" customHeight="1">
      <c r="C112" s="25">
        <f t="shared" si="3"/>
        <v>0.4509388249</v>
      </c>
      <c r="D112" s="25">
        <f t="shared" si="4"/>
        <v>91</v>
      </c>
      <c r="K112" s="7">
        <f t="shared" si="10"/>
        <v>0.95107784</v>
      </c>
      <c r="L112" s="7">
        <f t="shared" si="11"/>
        <v>7</v>
      </c>
      <c r="Q112" s="7">
        <f t="shared" si="17"/>
        <v>0.4450642306</v>
      </c>
      <c r="R112" s="7" t="str">
        <f t="shared" si="18"/>
        <v>#N/A</v>
      </c>
      <c r="Y112" s="7">
        <f t="shared" si="24"/>
        <v>0.9105958583</v>
      </c>
      <c r="Z112" s="7" t="str">
        <f t="shared" si="25"/>
        <v>#N/A</v>
      </c>
    </row>
    <row r="113" ht="15.75" customHeight="1">
      <c r="C113" s="25">
        <f t="shared" si="3"/>
        <v>0.7317846332</v>
      </c>
      <c r="D113" s="25">
        <f t="shared" si="4"/>
        <v>45</v>
      </c>
      <c r="K113" s="7">
        <f t="shared" si="10"/>
        <v>0.7426372329</v>
      </c>
      <c r="L113" s="7">
        <f t="shared" si="11"/>
        <v>31</v>
      </c>
      <c r="Q113" s="7">
        <f t="shared" si="17"/>
        <v>0.7197344357</v>
      </c>
      <c r="R113" s="7" t="str">
        <f t="shared" si="18"/>
        <v>#N/A</v>
      </c>
      <c r="Y113" s="7">
        <f t="shared" si="24"/>
        <v>0.6649659438</v>
      </c>
      <c r="Z113" s="7" t="str">
        <f t="shared" si="25"/>
        <v>#N/A</v>
      </c>
    </row>
    <row r="114" ht="15.75" customHeight="1">
      <c r="C114" s="25">
        <f t="shared" si="3"/>
        <v>0.4839091136</v>
      </c>
      <c r="D114" s="25">
        <f t="shared" si="4"/>
        <v>85</v>
      </c>
      <c r="K114" s="7">
        <f t="shared" si="10"/>
        <v>0.2333176521</v>
      </c>
      <c r="L114" s="7">
        <f t="shared" si="11"/>
        <v>90</v>
      </c>
      <c r="Q114" s="7">
        <f t="shared" si="17"/>
        <v>0.548657511</v>
      </c>
      <c r="R114" s="7" t="str">
        <f t="shared" si="18"/>
        <v>#N/A</v>
      </c>
      <c r="Y114" s="7">
        <f t="shared" si="24"/>
        <v>0.01135289354</v>
      </c>
      <c r="Z114" s="7" t="str">
        <f t="shared" si="25"/>
        <v>#N/A</v>
      </c>
    </row>
    <row r="115" ht="15.75" customHeight="1">
      <c r="C115" s="25">
        <f t="shared" si="3"/>
        <v>0.630945132</v>
      </c>
      <c r="D115" s="25">
        <f t="shared" si="4"/>
        <v>62</v>
      </c>
      <c r="K115" s="7">
        <f t="shared" si="10"/>
        <v>0.002199250696</v>
      </c>
      <c r="L115" s="7">
        <f t="shared" si="11"/>
        <v>119</v>
      </c>
      <c r="Q115" s="7">
        <f t="shared" si="17"/>
        <v>0.2776492834</v>
      </c>
      <c r="R115" s="7" t="str">
        <f t="shared" si="18"/>
        <v>#N/A</v>
      </c>
      <c r="Y115" s="7">
        <f t="shared" si="24"/>
        <v>0.3022490102</v>
      </c>
      <c r="Z115" s="7" t="str">
        <f t="shared" si="25"/>
        <v>#N/A</v>
      </c>
    </row>
    <row r="116" ht="15.75" customHeight="1">
      <c r="C116" s="25">
        <f t="shared" si="3"/>
        <v>0.7551305235</v>
      </c>
      <c r="D116" s="25">
        <f t="shared" si="4"/>
        <v>42</v>
      </c>
      <c r="K116" s="7">
        <f t="shared" si="10"/>
        <v>0.1874923016</v>
      </c>
      <c r="L116" s="7">
        <f t="shared" si="11"/>
        <v>97</v>
      </c>
      <c r="Q116" s="7">
        <f t="shared" si="17"/>
        <v>0.994873483</v>
      </c>
      <c r="R116" s="7" t="str">
        <f t="shared" si="18"/>
        <v>#N/A</v>
      </c>
      <c r="Y116" s="7">
        <f t="shared" si="24"/>
        <v>0.2095644664</v>
      </c>
      <c r="Z116" s="7" t="str">
        <f t="shared" si="25"/>
        <v>#N/A</v>
      </c>
    </row>
    <row r="117" ht="15.75" customHeight="1">
      <c r="C117" s="25">
        <f t="shared" si="3"/>
        <v>0.5181189531</v>
      </c>
      <c r="D117" s="25">
        <f t="shared" si="4"/>
        <v>81</v>
      </c>
      <c r="K117" s="7">
        <f t="shared" si="10"/>
        <v>0.4809942244</v>
      </c>
      <c r="L117" s="7">
        <f t="shared" si="11"/>
        <v>61</v>
      </c>
      <c r="Q117" s="7">
        <f t="shared" si="17"/>
        <v>0.9163008064</v>
      </c>
      <c r="R117" s="7" t="str">
        <f t="shared" si="18"/>
        <v>#N/A</v>
      </c>
      <c r="Y117" s="7">
        <f t="shared" si="24"/>
        <v>0.202146174</v>
      </c>
      <c r="Z117" s="7" t="str">
        <f t="shared" si="25"/>
        <v>#N/A</v>
      </c>
    </row>
    <row r="118" ht="15.75" customHeight="1">
      <c r="C118" s="25">
        <f t="shared" si="3"/>
        <v>0.8567404469</v>
      </c>
      <c r="D118" s="25">
        <f t="shared" si="4"/>
        <v>24</v>
      </c>
      <c r="K118" s="7">
        <f t="shared" si="10"/>
        <v>0.1104270834</v>
      </c>
      <c r="L118" s="7">
        <f t="shared" si="11"/>
        <v>107</v>
      </c>
      <c r="Q118" s="7">
        <f t="shared" si="17"/>
        <v>0.3276352951</v>
      </c>
      <c r="R118" s="7" t="str">
        <f t="shared" si="18"/>
        <v>#N/A</v>
      </c>
      <c r="Y118" s="7">
        <f t="shared" si="24"/>
        <v>0.971851728</v>
      </c>
      <c r="Z118" s="7" t="str">
        <f t="shared" si="25"/>
        <v>#N/A</v>
      </c>
    </row>
    <row r="119" ht="15.75" customHeight="1">
      <c r="C119" s="25">
        <f t="shared" si="3"/>
        <v>0.6311909886</v>
      </c>
      <c r="D119" s="25">
        <f t="shared" si="4"/>
        <v>61</v>
      </c>
      <c r="K119" s="7">
        <f t="shared" si="10"/>
        <v>0.7661514696</v>
      </c>
      <c r="L119" s="7">
        <f t="shared" si="11"/>
        <v>25</v>
      </c>
      <c r="Q119" s="7">
        <f t="shared" si="17"/>
        <v>0.7597411053</v>
      </c>
      <c r="R119" s="7" t="str">
        <f t="shared" si="18"/>
        <v>#N/A</v>
      </c>
      <c r="Y119" s="7">
        <f t="shared" si="24"/>
        <v>0.03789018205</v>
      </c>
      <c r="Z119" s="7" t="str">
        <f t="shared" si="25"/>
        <v>#N/A</v>
      </c>
    </row>
    <row r="120" ht="15.75" customHeight="1">
      <c r="C120" s="25">
        <f t="shared" si="3"/>
        <v>0.04931549417</v>
      </c>
      <c r="D120" s="25">
        <f t="shared" si="4"/>
        <v>153</v>
      </c>
      <c r="K120" s="7">
        <f t="shared" si="10"/>
        <v>0.624561697</v>
      </c>
      <c r="L120" s="7">
        <f t="shared" si="11"/>
        <v>46</v>
      </c>
      <c r="Q120" s="7">
        <f t="shared" si="17"/>
        <v>0.1857783401</v>
      </c>
      <c r="R120" s="7" t="str">
        <f t="shared" si="18"/>
        <v>#N/A</v>
      </c>
      <c r="Y120" s="7">
        <f t="shared" si="24"/>
        <v>0.4570209142</v>
      </c>
      <c r="Z120" s="7" t="str">
        <f t="shared" si="25"/>
        <v>#N/A</v>
      </c>
    </row>
    <row r="121" ht="15.75" customHeight="1">
      <c r="C121" s="25">
        <f t="shared" si="3"/>
        <v>0.6156649019</v>
      </c>
      <c r="D121" s="25">
        <f t="shared" si="4"/>
        <v>68</v>
      </c>
      <c r="Q121" s="7">
        <f t="shared" si="17"/>
        <v>0.9067592845</v>
      </c>
      <c r="R121" s="7" t="str">
        <f t="shared" si="18"/>
        <v>#N/A</v>
      </c>
      <c r="Y121" s="7">
        <f t="shared" si="24"/>
        <v>0.009999402871</v>
      </c>
      <c r="Z121" s="7" t="str">
        <f t="shared" si="25"/>
        <v>#N/A</v>
      </c>
    </row>
    <row r="122" ht="15.75" customHeight="1">
      <c r="C122" s="25">
        <f t="shared" si="3"/>
        <v>0.1165121081</v>
      </c>
      <c r="D122" s="25">
        <f t="shared" si="4"/>
        <v>137</v>
      </c>
      <c r="Q122" s="7">
        <f t="shared" si="17"/>
        <v>0.3445214643</v>
      </c>
      <c r="R122" s="7" t="str">
        <f t="shared" si="18"/>
        <v>#N/A</v>
      </c>
    </row>
    <row r="123" ht="15.75" customHeight="1">
      <c r="C123" s="25">
        <f t="shared" si="3"/>
        <v>0.06954759197</v>
      </c>
      <c r="D123" s="25">
        <f t="shared" si="4"/>
        <v>150</v>
      </c>
      <c r="Q123" s="7">
        <f t="shared" si="17"/>
        <v>0.8949467931</v>
      </c>
      <c r="R123" s="7" t="str">
        <f t="shared" si="18"/>
        <v>#N/A</v>
      </c>
    </row>
    <row r="124" ht="15.75" customHeight="1">
      <c r="C124" s="25">
        <f t="shared" si="3"/>
        <v>0.8942595389</v>
      </c>
      <c r="D124" s="25">
        <f t="shared" si="4"/>
        <v>17</v>
      </c>
      <c r="Q124" s="7">
        <f t="shared" si="17"/>
        <v>0.5023631642</v>
      </c>
      <c r="R124" s="7" t="str">
        <f t="shared" si="18"/>
        <v>#N/A</v>
      </c>
    </row>
    <row r="125" ht="15.75" customHeight="1">
      <c r="C125" s="25">
        <f t="shared" si="3"/>
        <v>0.1139599077</v>
      </c>
      <c r="D125" s="25">
        <f t="shared" si="4"/>
        <v>138</v>
      </c>
      <c r="Q125" s="7">
        <f t="shared" si="17"/>
        <v>0.3161398388</v>
      </c>
      <c r="R125" s="7" t="str">
        <f t="shared" si="18"/>
        <v>#N/A</v>
      </c>
    </row>
    <row r="126" ht="15.75" customHeight="1">
      <c r="C126" s="25">
        <f t="shared" si="3"/>
        <v>0.4543808372</v>
      </c>
      <c r="D126" s="25">
        <f t="shared" si="4"/>
        <v>89</v>
      </c>
      <c r="Q126" s="7">
        <f t="shared" si="17"/>
        <v>0.8316906025</v>
      </c>
      <c r="R126" s="7" t="str">
        <f t="shared" si="18"/>
        <v>#N/A</v>
      </c>
    </row>
    <row r="127" ht="15.75" customHeight="1">
      <c r="C127" s="25">
        <f t="shared" si="3"/>
        <v>0.858488841</v>
      </c>
      <c r="D127" s="25">
        <f t="shared" si="4"/>
        <v>23</v>
      </c>
      <c r="Q127" s="7">
        <f t="shared" si="17"/>
        <v>0.8204848511</v>
      </c>
      <c r="R127" s="7" t="str">
        <f t="shared" si="18"/>
        <v>#N/A</v>
      </c>
    </row>
    <row r="128" ht="15.75" customHeight="1">
      <c r="C128" s="25">
        <f t="shared" si="3"/>
        <v>0.3675595396</v>
      </c>
      <c r="D128" s="25">
        <f t="shared" si="4"/>
        <v>105</v>
      </c>
      <c r="Q128" s="7">
        <f t="shared" si="17"/>
        <v>0.05315360616</v>
      </c>
      <c r="R128" s="7" t="str">
        <f t="shared" si="18"/>
        <v>#N/A</v>
      </c>
    </row>
    <row r="129" ht="15.75" customHeight="1">
      <c r="C129" s="25">
        <f t="shared" si="3"/>
        <v>0.6663104008</v>
      </c>
      <c r="D129" s="25">
        <f t="shared" si="4"/>
        <v>54</v>
      </c>
      <c r="Q129" s="7">
        <f t="shared" si="17"/>
        <v>0.5476152135</v>
      </c>
      <c r="R129" s="7" t="str">
        <f t="shared" si="18"/>
        <v>#N/A</v>
      </c>
    </row>
    <row r="130" ht="15.75" customHeight="1">
      <c r="C130" s="25">
        <f t="shared" si="3"/>
        <v>0.4493635138</v>
      </c>
      <c r="D130" s="25">
        <f t="shared" si="4"/>
        <v>92</v>
      </c>
      <c r="Q130" s="7">
        <f t="shared" si="17"/>
        <v>0.1059930703</v>
      </c>
      <c r="R130" s="7" t="str">
        <f t="shared" si="18"/>
        <v>#N/A</v>
      </c>
    </row>
    <row r="131" ht="15.75" customHeight="1">
      <c r="C131" s="25">
        <f t="shared" si="3"/>
        <v>0.6103839653</v>
      </c>
      <c r="D131" s="25">
        <f t="shared" si="4"/>
        <v>69</v>
      </c>
      <c r="Q131" s="7">
        <f t="shared" si="17"/>
        <v>0.870142333</v>
      </c>
      <c r="R131" s="7" t="str">
        <f t="shared" si="18"/>
        <v>#N/A</v>
      </c>
    </row>
    <row r="132" ht="15.75" customHeight="1">
      <c r="C132" s="25">
        <f t="shared" si="3"/>
        <v>0.3049979619</v>
      </c>
      <c r="D132" s="25">
        <f t="shared" si="4"/>
        <v>115</v>
      </c>
      <c r="Q132" s="7">
        <f t="shared" si="17"/>
        <v>0.9793759863</v>
      </c>
      <c r="R132" s="7" t="str">
        <f t="shared" si="18"/>
        <v>#N/A</v>
      </c>
    </row>
    <row r="133" ht="15.75" customHeight="1">
      <c r="C133" s="25">
        <f t="shared" si="3"/>
        <v>0.8870219094</v>
      </c>
      <c r="D133" s="25">
        <f t="shared" si="4"/>
        <v>18</v>
      </c>
      <c r="Q133" s="7">
        <f t="shared" si="17"/>
        <v>0.8137628335</v>
      </c>
      <c r="R133" s="7" t="str">
        <f t="shared" si="18"/>
        <v>#N/A</v>
      </c>
    </row>
    <row r="134" ht="15.75" customHeight="1">
      <c r="C134" s="25">
        <f t="shared" si="3"/>
        <v>0.3736263718</v>
      </c>
      <c r="D134" s="25">
        <f t="shared" si="4"/>
        <v>103</v>
      </c>
      <c r="Q134" s="7">
        <f t="shared" si="17"/>
        <v>0.06935389156</v>
      </c>
      <c r="R134" s="7" t="str">
        <f t="shared" si="18"/>
        <v>#N/A</v>
      </c>
    </row>
    <row r="135" ht="15.75" customHeight="1">
      <c r="C135" s="25">
        <f t="shared" si="3"/>
        <v>0.4209775332</v>
      </c>
      <c r="D135" s="25">
        <f t="shared" si="4"/>
        <v>94</v>
      </c>
      <c r="Q135" s="7">
        <f t="shared" si="17"/>
        <v>0.3573071767</v>
      </c>
      <c r="R135" s="7" t="str">
        <f t="shared" si="18"/>
        <v>#N/A</v>
      </c>
    </row>
    <row r="136" ht="15.75" customHeight="1">
      <c r="C136" s="25">
        <f t="shared" si="3"/>
        <v>0.9621329196</v>
      </c>
      <c r="D136" s="25">
        <f t="shared" si="4"/>
        <v>6</v>
      </c>
      <c r="Q136" s="7">
        <f t="shared" si="17"/>
        <v>0.4239288126</v>
      </c>
      <c r="R136" s="7" t="str">
        <f t="shared" si="18"/>
        <v>#N/A</v>
      </c>
    </row>
    <row r="137" ht="15.75" customHeight="1">
      <c r="C137" s="25">
        <f t="shared" si="3"/>
        <v>0.6765929549</v>
      </c>
      <c r="D137" s="25">
        <f t="shared" si="4"/>
        <v>51</v>
      </c>
      <c r="Q137" s="7">
        <f t="shared" si="17"/>
        <v>0.1331674759</v>
      </c>
      <c r="R137" s="7" t="str">
        <f t="shared" si="18"/>
        <v>#N/A</v>
      </c>
    </row>
    <row r="138" ht="15.75" customHeight="1">
      <c r="C138" s="25">
        <f t="shared" si="3"/>
        <v>0.5223954355</v>
      </c>
      <c r="D138" s="25">
        <f t="shared" si="4"/>
        <v>77</v>
      </c>
      <c r="Q138" s="7">
        <f t="shared" si="17"/>
        <v>0.3421084608</v>
      </c>
      <c r="R138" s="7" t="str">
        <f t="shared" si="18"/>
        <v>#N/A</v>
      </c>
    </row>
    <row r="139" ht="15.75" customHeight="1">
      <c r="C139" s="25">
        <f t="shared" si="3"/>
        <v>0.2678604922</v>
      </c>
      <c r="D139" s="25">
        <f t="shared" si="4"/>
        <v>122</v>
      </c>
      <c r="Q139" s="7">
        <f t="shared" si="17"/>
        <v>0.6025313424</v>
      </c>
      <c r="R139" s="7" t="str">
        <f t="shared" si="18"/>
        <v>#N/A</v>
      </c>
    </row>
    <row r="140" ht="15.75" customHeight="1">
      <c r="C140" s="25">
        <f t="shared" si="3"/>
        <v>0.6274045496</v>
      </c>
      <c r="D140" s="25">
        <f t="shared" si="4"/>
        <v>64</v>
      </c>
      <c r="Q140" s="7">
        <f t="shared" si="17"/>
        <v>0.1746106893</v>
      </c>
      <c r="R140" s="7" t="str">
        <f t="shared" si="18"/>
        <v>#N/A</v>
      </c>
    </row>
    <row r="141" ht="15.75" customHeight="1">
      <c r="C141" s="25">
        <f t="shared" si="3"/>
        <v>0.3374529676</v>
      </c>
      <c r="D141" s="25">
        <f t="shared" si="4"/>
        <v>110</v>
      </c>
      <c r="Q141" s="7">
        <f t="shared" si="17"/>
        <v>0.2201292576</v>
      </c>
      <c r="R141" s="7" t="str">
        <f t="shared" si="18"/>
        <v>#N/A</v>
      </c>
    </row>
    <row r="142" ht="15.75" customHeight="1">
      <c r="C142" s="25">
        <f t="shared" si="3"/>
        <v>0.3424439801</v>
      </c>
      <c r="D142" s="25">
        <f t="shared" si="4"/>
        <v>109</v>
      </c>
      <c r="Q142" s="7">
        <f t="shared" si="17"/>
        <v>0.522514411</v>
      </c>
      <c r="R142" s="7" t="str">
        <f t="shared" si="18"/>
        <v>#N/A</v>
      </c>
    </row>
    <row r="143" ht="15.75" customHeight="1">
      <c r="C143" s="25">
        <f t="shared" si="3"/>
        <v>0.6174690051</v>
      </c>
      <c r="D143" s="25">
        <f t="shared" si="4"/>
        <v>66</v>
      </c>
      <c r="Q143" s="7">
        <f t="shared" si="17"/>
        <v>0.2198153096</v>
      </c>
      <c r="R143" s="7" t="str">
        <f t="shared" si="18"/>
        <v>#N/A</v>
      </c>
    </row>
    <row r="144" ht="15.75" customHeight="1">
      <c r="C144" s="25">
        <f t="shared" si="3"/>
        <v>0.9612018874</v>
      </c>
      <c r="D144" s="25">
        <f t="shared" si="4"/>
        <v>7</v>
      </c>
      <c r="Q144" s="7">
        <f t="shared" si="17"/>
        <v>0.799750065</v>
      </c>
      <c r="R144" s="7" t="str">
        <f t="shared" si="18"/>
        <v>#N/A</v>
      </c>
    </row>
    <row r="145" ht="15.75" customHeight="1">
      <c r="C145" s="25">
        <f t="shared" si="3"/>
        <v>0.3750494403</v>
      </c>
      <c r="D145" s="25">
        <f t="shared" si="4"/>
        <v>102</v>
      </c>
      <c r="Q145" s="7">
        <f t="shared" si="17"/>
        <v>0.6259061672</v>
      </c>
      <c r="R145" s="7" t="str">
        <f t="shared" si="18"/>
        <v>#N/A</v>
      </c>
    </row>
    <row r="146" ht="15.75" customHeight="1">
      <c r="C146" s="25">
        <f t="shared" si="3"/>
        <v>0.01690288399</v>
      </c>
      <c r="D146" s="25">
        <f t="shared" si="4"/>
        <v>159</v>
      </c>
      <c r="Q146" s="7">
        <f t="shared" si="17"/>
        <v>0.785604393</v>
      </c>
      <c r="R146" s="7" t="str">
        <f t="shared" si="18"/>
        <v>#N/A</v>
      </c>
    </row>
    <row r="147" ht="15.75" customHeight="1">
      <c r="C147" s="25">
        <f t="shared" si="3"/>
        <v>0.1319985339</v>
      </c>
      <c r="D147" s="25">
        <f t="shared" si="4"/>
        <v>135</v>
      </c>
      <c r="Q147" s="7">
        <f t="shared" si="17"/>
        <v>0.7470936885</v>
      </c>
      <c r="R147" s="7" t="str">
        <f t="shared" si="18"/>
        <v>#N/A</v>
      </c>
    </row>
    <row r="148" ht="15.75" customHeight="1">
      <c r="C148" s="25">
        <f t="shared" si="3"/>
        <v>0.6097494151</v>
      </c>
      <c r="D148" s="25">
        <f t="shared" si="4"/>
        <v>70</v>
      </c>
      <c r="Q148" s="7">
        <f t="shared" si="17"/>
        <v>0.07973481286</v>
      </c>
      <c r="R148" s="7" t="str">
        <f t="shared" si="18"/>
        <v>#N/A</v>
      </c>
    </row>
    <row r="149" ht="15.75" customHeight="1">
      <c r="C149" s="25">
        <f t="shared" si="3"/>
        <v>0.6925668636</v>
      </c>
      <c r="D149" s="25">
        <f t="shared" si="4"/>
        <v>50</v>
      </c>
      <c r="Q149" s="7">
        <f t="shared" si="17"/>
        <v>0.4518341088</v>
      </c>
      <c r="R149" s="7" t="str">
        <f t="shared" si="18"/>
        <v>#N/A</v>
      </c>
    </row>
    <row r="150" ht="15.75" customHeight="1">
      <c r="C150" s="25">
        <f t="shared" si="3"/>
        <v>0.07917805437</v>
      </c>
      <c r="D150" s="25">
        <f t="shared" si="4"/>
        <v>147</v>
      </c>
      <c r="Q150" s="7">
        <f t="shared" si="17"/>
        <v>0.5355220684</v>
      </c>
      <c r="R150" s="7" t="str">
        <f t="shared" si="18"/>
        <v>#N/A</v>
      </c>
    </row>
    <row r="151" ht="15.75" customHeight="1">
      <c r="C151" s="25">
        <f t="shared" si="3"/>
        <v>0.9467232173</v>
      </c>
      <c r="D151" s="25">
        <f t="shared" si="4"/>
        <v>10</v>
      </c>
      <c r="Q151" s="7">
        <f t="shared" si="17"/>
        <v>0.8089405527</v>
      </c>
      <c r="R151" s="7" t="str">
        <f t="shared" si="18"/>
        <v>#N/A</v>
      </c>
    </row>
    <row r="152" ht="15.75" customHeight="1">
      <c r="C152" s="25">
        <f t="shared" si="3"/>
        <v>0.9483353838</v>
      </c>
      <c r="D152" s="25">
        <f t="shared" si="4"/>
        <v>9</v>
      </c>
      <c r="Q152" s="7">
        <f t="shared" si="17"/>
        <v>0.8045395212</v>
      </c>
      <c r="R152" s="7" t="str">
        <f t="shared" si="18"/>
        <v>#N/A</v>
      </c>
    </row>
    <row r="153" ht="15.75" customHeight="1">
      <c r="C153" s="25">
        <f t="shared" si="3"/>
        <v>0.4822870162</v>
      </c>
      <c r="D153" s="25">
        <f t="shared" si="4"/>
        <v>86</v>
      </c>
      <c r="Q153" s="7">
        <f t="shared" si="17"/>
        <v>0.4478314945</v>
      </c>
      <c r="R153" s="7" t="str">
        <f t="shared" si="18"/>
        <v>#N/A</v>
      </c>
    </row>
    <row r="154" ht="15.75" customHeight="1">
      <c r="C154" s="25">
        <f t="shared" si="3"/>
        <v>0.5750483209</v>
      </c>
      <c r="D154" s="25">
        <f t="shared" si="4"/>
        <v>73</v>
      </c>
      <c r="Q154" s="7">
        <f t="shared" si="17"/>
        <v>0.1077094069</v>
      </c>
      <c r="R154" s="7" t="str">
        <f t="shared" si="18"/>
        <v>#N/A</v>
      </c>
    </row>
    <row r="155" ht="15.75" customHeight="1">
      <c r="C155" s="25">
        <f t="shared" si="3"/>
        <v>0.8485610274</v>
      </c>
      <c r="D155" s="25">
        <f t="shared" si="4"/>
        <v>27</v>
      </c>
      <c r="Q155" s="7">
        <f t="shared" si="17"/>
        <v>0.1333027437</v>
      </c>
      <c r="R155" s="7" t="str">
        <f t="shared" si="18"/>
        <v>#N/A</v>
      </c>
    </row>
    <row r="156" ht="15.75" customHeight="1">
      <c r="C156" s="25">
        <f t="shared" si="3"/>
        <v>0.6453192602</v>
      </c>
      <c r="D156" s="25">
        <f t="shared" si="4"/>
        <v>58</v>
      </c>
      <c r="Q156" s="7">
        <f t="shared" si="17"/>
        <v>0.5552020419</v>
      </c>
      <c r="R156" s="7" t="str">
        <f t="shared" si="18"/>
        <v>#N/A</v>
      </c>
    </row>
    <row r="157" ht="15.75" customHeight="1">
      <c r="C157" s="25">
        <f t="shared" si="3"/>
        <v>0.4925754543</v>
      </c>
      <c r="D157" s="25">
        <f t="shared" si="4"/>
        <v>84</v>
      </c>
      <c r="Q157" s="7">
        <f t="shared" si="17"/>
        <v>0.3342094837</v>
      </c>
      <c r="R157" s="7" t="str">
        <f t="shared" si="18"/>
        <v>#N/A</v>
      </c>
    </row>
    <row r="158" ht="15.75" customHeight="1">
      <c r="C158" s="25">
        <f t="shared" si="3"/>
        <v>0.2695565773</v>
      </c>
      <c r="D158" s="25">
        <f t="shared" si="4"/>
        <v>121</v>
      </c>
      <c r="Q158" s="7">
        <f t="shared" si="17"/>
        <v>0.5807904266</v>
      </c>
      <c r="R158" s="7" t="str">
        <f t="shared" si="18"/>
        <v>#N/A</v>
      </c>
    </row>
    <row r="159" ht="15.75" customHeight="1">
      <c r="C159" s="25">
        <f t="shared" si="3"/>
        <v>0.8283278359</v>
      </c>
      <c r="D159" s="25">
        <f t="shared" si="4"/>
        <v>31</v>
      </c>
      <c r="Q159" s="7">
        <f t="shared" si="17"/>
        <v>0.9091076916</v>
      </c>
      <c r="R159" s="7" t="str">
        <f t="shared" si="18"/>
        <v>#N/A</v>
      </c>
    </row>
    <row r="160" ht="15.75" customHeight="1">
      <c r="C160" s="25">
        <f t="shared" si="3"/>
        <v>0.1065185751</v>
      </c>
      <c r="D160" s="25">
        <f t="shared" si="4"/>
        <v>141</v>
      </c>
      <c r="Q160" s="7">
        <f t="shared" si="17"/>
        <v>0.9163002723</v>
      </c>
      <c r="R160" s="7" t="str">
        <f t="shared" si="18"/>
        <v>#N/A</v>
      </c>
    </row>
    <row r="161" ht="15.75" customHeight="1">
      <c r="Q161" s="7">
        <f t="shared" si="17"/>
        <v>0.740373138</v>
      </c>
      <c r="R161" s="7" t="str">
        <f t="shared" si="18"/>
        <v>#N/A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